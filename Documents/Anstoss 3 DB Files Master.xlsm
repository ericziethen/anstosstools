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EricProjects\Development Projects\EZ001 - Anstoss 3 Batch Text Editor\Design Documents\"/>
    </mc:Choice>
  </mc:AlternateContent>
  <bookViews>
    <workbookView xWindow="240" yWindow="120" windowWidth="9090" windowHeight="1110" tabRatio="853" firstSheet="24" activeTab="33" xr2:uid="{00000000-000D-0000-FFFF-FFFF00000000}"/>
  </bookViews>
  <sheets>
    <sheet name="File List" sheetId="50" r:id="rId1"/>
    <sheet name="Overview" sheetId="1" r:id="rId2"/>
    <sheet name="LISTS" sheetId="3" r:id="rId3"/>
    <sheet name="LISTS-2 COL" sheetId="57" r:id="rId4"/>
    <sheet name="Sections" sheetId="2" r:id="rId5"/>
    <sheet name="%SECT%AJUGEND" sheetId="4" r:id="rId6"/>
    <sheet name="%SECT%AMATEURV" sheetId="5" r:id="rId7"/>
    <sheet name="%SECT%AUSRUESTER" sheetId="7" r:id="rId8"/>
    <sheet name="%SECT%BONUS" sheetId="8" r:id="rId9"/>
    <sheet name="%SECT%CLEAGUEGRP" sheetId="10" r:id="rId10"/>
    <sheet name="%SECT%EFANGES" sheetId="11" r:id="rId11"/>
    <sheet name="%SECT%EMWM" sheetId="13" r:id="rId12"/>
    <sheet name="%SECT%EUROSIEGER" sheetId="14" r:id="rId13"/>
    <sheet name="%SECT%FANGES" sheetId="16" r:id="rId14"/>
    <sheet name="%SECT%HALBZEIT" sheetId="17" r:id="rId15"/>
    <sheet name="%SECT%IVEREINE" sheetId="20" r:id="rId16"/>
    <sheet name="%SECT%KRITIKER" sheetId="21" r:id="rId17"/>
    <sheet name="%SECT%LAND" sheetId="23" r:id="rId18"/>
    <sheet name="%SECT%LIGA" sheetId="24" r:id="rId19"/>
    <sheet name="%SECT%MANAGER" sheetId="25" r:id="rId20"/>
    <sheet name="%SECT%MISC" sheetId="28" r:id="rId21"/>
    <sheet name="%SECT%NATION" sheetId="29" r:id="rId22"/>
    <sheet name="%SECT%PROMI" sheetId="30" r:id="rId23"/>
    <sheet name="%SECT%QUIZ" sheetId="32" r:id="rId24"/>
    <sheet name="%SECT%REPORTER" sheetId="33" r:id="rId25"/>
    <sheet name="%SECT%SCHIRI" sheetId="34" r:id="rId26"/>
    <sheet name="%SECT%SPIELER" sheetId="37" r:id="rId27"/>
    <sheet name="%SECT%SPONSOR" sheetId="38" r:id="rId28"/>
    <sheet name="%SECT%STADION" sheetId="40" r:id="rId29"/>
    <sheet name="%SECT%TRAINER" sheetId="41" r:id="rId30"/>
    <sheet name="%SECT%TURNIERGRP" sheetId="43" r:id="rId31"/>
    <sheet name="%SECT%TWTRAINER" sheetId="44" r:id="rId32"/>
    <sheet name="%SECT%UEFA" sheetId="46" r:id="rId33"/>
    <sheet name="%SECT%VEREIN" sheetId="47" r:id="rId34"/>
    <sheet name="%SECT%VPRAESID" sheetId="48" r:id="rId35"/>
    <sheet name="Sheet1" sheetId="58" r:id="rId36"/>
    <sheet name="Sheet2" sheetId="59" r:id="rId37"/>
    <sheet name="Sheet3" sheetId="60" r:id="rId38"/>
    <sheet name="Sheet4" sheetId="61" r:id="rId39"/>
    <sheet name="Sheet5" sheetId="62" r:id="rId40"/>
    <sheet name="ASPIELER_HIDDEN" sheetId="53" r:id="rId41"/>
    <sheet name="ISCHIRI_HIDDEN" sheetId="54" r:id="rId42"/>
    <sheet name="SPIEL_HIDDEN" sheetId="55" r:id="rId43"/>
    <sheet name="SPIELPLAN_VEREIN_HIDDEN" sheetId="56" r:id="rId44"/>
  </sheets>
  <calcPr calcId="171027"/>
</workbook>
</file>

<file path=xl/calcChain.xml><?xml version="1.0" encoding="utf-8"?>
<calcChain xmlns="http://schemas.openxmlformats.org/spreadsheetml/2006/main">
  <c r="J2" i="2" l="1"/>
  <c r="C53" i="2" l="1"/>
  <c r="C54" i="2"/>
  <c r="C5" i="2" l="1"/>
  <c r="C10" i="2"/>
  <c r="C20" i="2"/>
  <c r="C21" i="2"/>
  <c r="C25" i="2"/>
  <c r="C30" i="2"/>
  <c r="C33" i="2"/>
  <c r="C34" i="2"/>
  <c r="C48" i="2"/>
  <c r="C51" i="2"/>
  <c r="C52" i="2"/>
  <c r="C4" i="2"/>
  <c r="C6" i="2"/>
  <c r="C9" i="2"/>
  <c r="C12" i="2"/>
  <c r="C15" i="2"/>
  <c r="C18" i="2"/>
  <c r="C19" i="2"/>
  <c r="C22" i="2"/>
  <c r="C26" i="2"/>
  <c r="C27" i="2"/>
  <c r="C31" i="2"/>
  <c r="C35" i="2"/>
  <c r="C36" i="2"/>
  <c r="C39" i="2"/>
  <c r="C42" i="2"/>
  <c r="C45" i="2"/>
  <c r="C49" i="2"/>
  <c r="C7" i="2"/>
  <c r="C8" i="2"/>
  <c r="C23" i="2"/>
  <c r="C11" i="2"/>
  <c r="C13" i="2"/>
  <c r="C29" i="2"/>
  <c r="C41" i="2"/>
  <c r="C16" i="2"/>
  <c r="C17" i="2"/>
  <c r="C43" i="2"/>
  <c r="C24" i="2"/>
  <c r="C28" i="2"/>
  <c r="C44" i="2"/>
  <c r="C32" i="2"/>
  <c r="C38" i="2"/>
  <c r="C40" i="2"/>
  <c r="C37" i="2"/>
  <c r="C46" i="2"/>
  <c r="C14" i="2"/>
  <c r="C47" i="2"/>
  <c r="U2" i="2" l="1"/>
  <c r="T2" i="2"/>
  <c r="S2" i="2"/>
  <c r="R2" i="2"/>
  <c r="E3" i="50" l="1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  <c r="E43" i="50"/>
  <c r="E44" i="50"/>
  <c r="E45" i="50"/>
  <c r="E46" i="50"/>
  <c r="E47" i="50"/>
  <c r="E48" i="50"/>
  <c r="E49" i="50"/>
  <c r="E50" i="50"/>
  <c r="E51" i="50"/>
  <c r="E52" i="50"/>
  <c r="E53" i="50"/>
  <c r="E54" i="50"/>
  <c r="E55" i="50"/>
  <c r="E56" i="50"/>
  <c r="E57" i="50"/>
  <c r="E58" i="50"/>
  <c r="E59" i="50"/>
  <c r="E60" i="50"/>
  <c r="E61" i="50"/>
  <c r="E62" i="50"/>
  <c r="E63" i="50"/>
  <c r="E64" i="50"/>
  <c r="E65" i="50"/>
  <c r="E66" i="50"/>
  <c r="E67" i="50"/>
  <c r="E2" i="50"/>
  <c r="B3" i="50"/>
  <c r="B4" i="50"/>
  <c r="B5" i="50"/>
  <c r="B6" i="50"/>
  <c r="B7" i="50"/>
  <c r="B8" i="50"/>
  <c r="B9" i="50"/>
  <c r="B10" i="50"/>
  <c r="B11" i="50"/>
  <c r="B12" i="50"/>
  <c r="B13" i="50"/>
  <c r="B14" i="50"/>
  <c r="B15" i="50"/>
  <c r="B16" i="50"/>
  <c r="B17" i="50"/>
  <c r="B18" i="50"/>
  <c r="B19" i="50"/>
  <c r="B20" i="50"/>
  <c r="B21" i="50"/>
  <c r="B22" i="50"/>
  <c r="B23" i="50"/>
  <c r="B24" i="50"/>
  <c r="B25" i="50"/>
  <c r="B26" i="50"/>
  <c r="B27" i="50"/>
  <c r="B28" i="50"/>
  <c r="B29" i="50"/>
  <c r="B30" i="50"/>
  <c r="B31" i="50"/>
  <c r="B32" i="50"/>
  <c r="B33" i="50"/>
  <c r="B34" i="50"/>
  <c r="B35" i="50"/>
  <c r="B36" i="50"/>
  <c r="B37" i="50"/>
  <c r="B38" i="50"/>
  <c r="B39" i="50"/>
  <c r="B40" i="50"/>
  <c r="B41" i="50"/>
  <c r="B42" i="50"/>
  <c r="B43" i="50"/>
  <c r="B44" i="50"/>
  <c r="B45" i="50"/>
  <c r="B46" i="50"/>
  <c r="B47" i="50"/>
  <c r="B48" i="50"/>
  <c r="B49" i="50"/>
  <c r="B50" i="50"/>
  <c r="B51" i="50"/>
  <c r="B52" i="50"/>
  <c r="B53" i="50"/>
  <c r="B54" i="50"/>
  <c r="B55" i="50"/>
  <c r="B56" i="50"/>
  <c r="B57" i="50"/>
  <c r="B58" i="50"/>
  <c r="B59" i="50"/>
  <c r="B60" i="50"/>
  <c r="B61" i="50"/>
  <c r="B62" i="50"/>
  <c r="B63" i="50"/>
  <c r="B64" i="50"/>
  <c r="B65" i="50"/>
  <c r="B66" i="50"/>
  <c r="B67" i="50"/>
  <c r="B2" i="50"/>
  <c r="F1" i="50" l="1"/>
  <c r="A1" i="2"/>
  <c r="Q2" i="2"/>
  <c r="P2" i="2"/>
  <c r="O2" i="2"/>
  <c r="N2" i="2"/>
  <c r="M2" i="2"/>
  <c r="L2" i="2"/>
  <c r="K2" i="2"/>
  <c r="I2" i="2"/>
</calcChain>
</file>

<file path=xl/sharedStrings.xml><?xml version="1.0" encoding="utf-8"?>
<sst xmlns="http://schemas.openxmlformats.org/spreadsheetml/2006/main" count="1485" uniqueCount="759">
  <si>
    <t>Filename</t>
  </si>
  <si>
    <t>Content</t>
  </si>
  <si>
    <t>File Pattern</t>
  </si>
  <si>
    <t>AVereine.sav</t>
  </si>
  <si>
    <t>Bonus1.sav</t>
  </si>
  <si>
    <t>CLeague.sav</t>
  </si>
  <si>
    <t>EMWM.sav</t>
  </si>
  <si>
    <t>ExSpiel.sav</t>
  </si>
  <si>
    <t>Fangesa.sav</t>
  </si>
  <si>
    <t>Fanwaves.sav</t>
  </si>
  <si>
    <t>Internat.sav</t>
  </si>
  <si>
    <t>ISchiris.sav</t>
  </si>
  <si>
    <t>Kleinig.sav</t>
  </si>
  <si>
    <t>Laender.sav</t>
  </si>
  <si>
    <t>liga1bon.sav</t>
  </si>
  <si>
    <t>Liga1Eng.sav</t>
  </si>
  <si>
    <t>liga1hol.sav</t>
  </si>
  <si>
    <t>liga1oes.sav</t>
  </si>
  <si>
    <t>liga1sch.sav</t>
  </si>
  <si>
    <t>Liga1Spa.sav</t>
  </si>
  <si>
    <t>liga1swz.sav</t>
  </si>
  <si>
    <t>liga1tue.sav</t>
  </si>
  <si>
    <t>Liga2Eng.sav</t>
  </si>
  <si>
    <t>Liga2Fra.sav</t>
  </si>
  <si>
    <t>liga2ita.sav</t>
  </si>
  <si>
    <t>liga2spa.sav</t>
  </si>
  <si>
    <t>Liga3Eng.sav</t>
  </si>
  <si>
    <t>Liga3Ita.sav</t>
  </si>
  <si>
    <t>liga4eng.sav</t>
  </si>
  <si>
    <t>Quiz.sav</t>
  </si>
  <si>
    <t>SonSpiel.sav</t>
  </si>
  <si>
    <t>Folder</t>
  </si>
  <si>
    <t>Data.a3</t>
  </si>
  <si>
    <t>Jugend1.sav
Jugend10.sav
Jugend11.sav
Jugend12.sav
Jugend13.sav
Jugend14.sav
Jugend15.sav
Jugend16.sav
Jugend17.sav
Jugend18.sav
Jugend2.sav
Jugend3.sav
Jugend4.sav
Jugend5.sav
Jugend6.sav
Jugend7.sav
Jugend8.sav
Jugend9.sav</t>
  </si>
  <si>
    <t>Youth Players</t>
  </si>
  <si>
    <t>LandDeut.sav
LandEngl.sav
LandFran.sav
LandItal.sav
LandSpan.sav
LandSchw.sav
LandScho.sav
LandHoll.sav
LandTuer.sav
LandOest.sav
LandPort.sav</t>
  </si>
  <si>
    <t>Section</t>
  </si>
  <si>
    <t>%SECT%LAND</t>
  </si>
  <si>
    <t>%SECT%VEREIN</t>
  </si>
  <si>
    <t>%SECT%TRAINER</t>
  </si>
  <si>
    <t>%SECT%MANAGER</t>
  </si>
  <si>
    <t>%SECT%SPIELER</t>
  </si>
  <si>
    <t>%SECT%AJUGEND</t>
  </si>
  <si>
    <t>%SECT%AMATEURV</t>
  </si>
  <si>
    <t>%SECT%KRITIKER</t>
  </si>
  <si>
    <t>%SECT%KRITIP</t>
  </si>
  <si>
    <t>%SECT%MANAGERP</t>
  </si>
  <si>
    <t>%SECT%MEDIAP</t>
  </si>
  <si>
    <t>%SECT%PROMI</t>
  </si>
  <si>
    <t>%SECT%PROMIP</t>
  </si>
  <si>
    <t>%SECT%REPORTER</t>
  </si>
  <si>
    <t>%SECT%SCHIRI</t>
  </si>
  <si>
    <t>%SECT%SCHIRIP</t>
  </si>
  <si>
    <t>%SECT%SPONSOR</t>
  </si>
  <si>
    <t>%SECT%SPONSORP</t>
  </si>
  <si>
    <t>%SECT%STADION</t>
  </si>
  <si>
    <t>%SECT%TRAINERP</t>
  </si>
  <si>
    <t>%SECT%TWTRAINER</t>
  </si>
  <si>
    <t>%SECT%TWTRAINP</t>
  </si>
  <si>
    <t>%SECT%ASPIELER</t>
  </si>
  <si>
    <t>%SECT%AUSRUESTER</t>
  </si>
  <si>
    <t>%SECT%BONUS</t>
  </si>
  <si>
    <t>%SECT%CLEAGUE</t>
  </si>
  <si>
    <t>%SECT%CLEAGUEGRP</t>
  </si>
  <si>
    <t>%SECT%EFANGES</t>
  </si>
  <si>
    <t>%SECT%EMGRP</t>
  </si>
  <si>
    <t>%SECT%EMWM</t>
  </si>
  <si>
    <t>%SECT%EUROSIEGER</t>
  </si>
  <si>
    <t>%SECT%EXSPIEL</t>
  </si>
  <si>
    <t>%SECT%FANGES</t>
  </si>
  <si>
    <t>%SECT%HALBZEIT</t>
  </si>
  <si>
    <t>%SECT%ISCHIRI</t>
  </si>
  <si>
    <t>%SECT%IVEREIN</t>
  </si>
  <si>
    <t>%SECT%IVEREINE</t>
  </si>
  <si>
    <t>%SECT%LIGA</t>
  </si>
  <si>
    <t>%SECT%MISC</t>
  </si>
  <si>
    <t>%SECT%NATION</t>
  </si>
  <si>
    <t>%SECT%QUIZ</t>
  </si>
  <si>
    <t>%SECT%SONSPIELER</t>
  </si>
  <si>
    <t>%SECT%TURNIERGRP</t>
  </si>
  <si>
    <t>%SECT%UEFA</t>
  </si>
  <si>
    <t>%SECT%VPRAESID</t>
  </si>
  <si>
    <t>%SECT%WMGRP</t>
  </si>
  <si>
    <t>Content Group</t>
  </si>
  <si>
    <t>X</t>
  </si>
  <si>
    <t>Link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</si>
  <si>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</si>
  <si>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</si>
  <si>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</si>
  <si>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</si>
  <si>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</si>
  <si>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</si>
  <si>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</si>
  <si>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</si>
  <si>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</si>
  <si>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</si>
  <si>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</si>
  <si>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</si>
  <si>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%ENDSECT%AJUGEND</t>
  </si>
  <si>
    <t>POSITION</t>
  </si>
  <si>
    <t>Torwart</t>
  </si>
  <si>
    <t>Libero</t>
  </si>
  <si>
    <t>Innenverteidiger</t>
  </si>
  <si>
    <t>Linker Verteidiger</t>
  </si>
  <si>
    <t>Rechter Verteidiger</t>
  </si>
  <si>
    <t>Defensives Mittelfeld</t>
  </si>
  <si>
    <t>Linkes Mittelfeld</t>
  </si>
  <si>
    <t>Rechtes Mittelfeld</t>
  </si>
  <si>
    <t>Offensives Mittelfeld</t>
  </si>
  <si>
    <t>Stuermer</t>
  </si>
  <si>
    <t>Nummer des Vereins entsprechend der Reihenfolge in der Datei (z.b. LandD.sav)</t>
  </si>
  <si>
    <t>Column22</t>
  </si>
  <si>
    <t>Target Version</t>
  </si>
  <si>
    <t>Version</t>
  </si>
  <si>
    <t>%ENDSECT%SPIELER</t>
  </si>
  <si>
    <t>Values</t>
  </si>
  <si>
    <t>Meaning</t>
  </si>
  <si>
    <t>DD.MM.YYYY</t>
  </si>
  <si>
    <t>Geburtsdatum</t>
  </si>
  <si>
    <t>Nachnahme</t>
  </si>
  <si>
    <t>Vornahme</t>
  </si>
  <si>
    <t>Alter</t>
  </si>
  <si>
    <t>Kunstlernahme</t>
  </si>
  <si>
    <t>Hat Kunstlernahme</t>
  </si>
  <si>
    <t>Staerke</t>
  </si>
  <si>
    <t>Talent</t>
  </si>
  <si>
    <t>Fuss</t>
  </si>
  <si>
    <t>Rueckennummer</t>
  </si>
  <si>
    <t>Land 2</t>
  </si>
  <si>
    <t>Kapitaen Rucktritt</t>
  </si>
  <si>
    <t>Hautfarbe</t>
  </si>
  <si>
    <t>Haarfarbe</t>
  </si>
  <si>
    <t>YES</t>
  </si>
  <si>
    <t>NO</t>
  </si>
  <si>
    <t>SOMETIMES</t>
  </si>
  <si>
    <t>Boolean</t>
  </si>
  <si>
    <t>Section Start (NO DATA)</t>
  </si>
  <si>
    <t>Spieler</t>
  </si>
  <si>
    <t>Vereine</t>
  </si>
  <si>
    <t>Negative Fahigkeiten</t>
  </si>
  <si>
    <t>Positive Fahigkeiten</t>
  </si>
  <si>
    <t>Hauptposition</t>
  </si>
  <si>
    <t>Nebenposition 1</t>
  </si>
  <si>
    <t>Nebenposition 2</t>
  </si>
  <si>
    <t>Pos</t>
  </si>
  <si>
    <t>Land  + 
Fussballinlaender</t>
  </si>
  <si>
    <t>Jugend1.sav</t>
  </si>
  <si>
    <t>Jugend10.sav</t>
  </si>
  <si>
    <t>Jugend11.sav</t>
  </si>
  <si>
    <t>Jugend12.sav</t>
  </si>
  <si>
    <t>Jugend13.sav</t>
  </si>
  <si>
    <t>Jugend14.sav</t>
  </si>
  <si>
    <t>Jugend15.sav</t>
  </si>
  <si>
    <t>Jugend16.sav</t>
  </si>
  <si>
    <t>Jugend17.sav</t>
  </si>
  <si>
    <t>Jugend18.sav</t>
  </si>
  <si>
    <t>Jugend2.sav</t>
  </si>
  <si>
    <t>Jugend3.sav</t>
  </si>
  <si>
    <t>Jugend4.sav</t>
  </si>
  <si>
    <t>Jugend5.sav</t>
  </si>
  <si>
    <t>Jugend6.sav</t>
  </si>
  <si>
    <t>Jugend7.sav</t>
  </si>
  <si>
    <t>Jugend8.sav</t>
  </si>
  <si>
    <t>Jugend9.sav</t>
  </si>
  <si>
    <t>LandDeut.sav</t>
  </si>
  <si>
    <t>LandEngl.sav</t>
  </si>
  <si>
    <t>LandFran.sav</t>
  </si>
  <si>
    <t>LandHoll.sav</t>
  </si>
  <si>
    <t>LandItal.sav</t>
  </si>
  <si>
    <t>LandOest.sav</t>
  </si>
  <si>
    <t>LandPort.sav</t>
  </si>
  <si>
    <t>LandScho.sav</t>
  </si>
  <si>
    <t>LandSchw.sav</t>
  </si>
  <si>
    <t>LandSpan.sav</t>
  </si>
  <si>
    <t>LandTuer.sav</t>
  </si>
  <si>
    <t>Liga1Deu.sav</t>
  </si>
  <si>
    <t>Liga1Fra.sav</t>
  </si>
  <si>
    <t>Liga1Ita.sav</t>
  </si>
  <si>
    <t>liga1por.sav</t>
  </si>
  <si>
    <t>Liga2Deu.sav</t>
  </si>
  <si>
    <t>LigaRLNo.sav</t>
  </si>
  <si>
    <t>LigaRLOs.sav</t>
  </si>
  <si>
    <t>LigaRLSu.sav</t>
  </si>
  <si>
    <t>LigaRLSW.sav</t>
  </si>
  <si>
    <t>&amp;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</si>
  <si>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</si>
  <si>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</si>
  <si>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</si>
  <si>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</si>
  <si>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</si>
  <si>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</si>
  <si>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</si>
  <si>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</si>
  <si>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</si>
  <si>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</si>
  <si>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</si>
  <si>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</si>
  <si>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</si>
  <si>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</si>
  <si>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</si>
  <si>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</si>
  <si>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</si>
  <si>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</si>
  <si>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</si>
  <si>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</si>
  <si>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</si>
  <si>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</si>
  <si>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</si>
  <si>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</si>
  <si>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</si>
  <si>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</si>
  <si>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</si>
  <si>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</si>
  <si>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</si>
  <si>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</si>
  <si>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</si>
  <si>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</si>
  <si>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</si>
  <si>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</si>
  <si>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</si>
  <si>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</si>
  <si>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</si>
  <si>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</si>
  <si>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</si>
  <si>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</si>
  <si>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</si>
  <si>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</si>
  <si>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</si>
  <si>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</si>
  <si>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</si>
  <si>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</si>
  <si>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</si>
  <si>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</si>
  <si>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</si>
  <si>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</si>
  <si>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</si>
  <si>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</si>
  <si>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</si>
  <si>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</si>
  <si>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</si>
  <si>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</si>
  <si>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</si>
  <si>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</si>
  <si>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</si>
  <si>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</si>
  <si>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</si>
  <si>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</si>
  <si>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</si>
  <si>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</si>
  <si>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</si>
  <si>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</si>
  <si>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%ENDSECT%VEREIN</t>
  </si>
  <si>
    <t>Vereinsnahme</t>
  </si>
  <si>
    <t>Kuerzl</t>
  </si>
  <si>
    <t>Text (3 Buchstaben</t>
  </si>
  <si>
    <t>Anfeuerung</t>
  </si>
  <si>
    <t>Text (49 Charaktere???)</t>
  </si>
  <si>
    <t>Fanbezeichnung</t>
  </si>
  <si>
    <t>Text (19 Buchstaben)</t>
  </si>
  <si>
    <t>Laender Zahl (Nummer in Laender.sav)</t>
  </si>
  <si>
    <t>Land</t>
  </si>
  <si>
    <t>Status</t>
  </si>
  <si>
    <t>DESGIN</t>
  </si>
  <si>
    <t>DEVELOPMENT</t>
  </si>
  <si>
    <t>COMPLETE</t>
  </si>
  <si>
    <t>TESTING</t>
  </si>
  <si>
    <t>Column23</t>
  </si>
  <si>
    <t>State</t>
  </si>
  <si>
    <t>VEREIN_HIDDEN</t>
  </si>
  <si>
    <t>AJUGEND_HIDDEN</t>
  </si>
  <si>
    <t>LandXxx.sav</t>
  </si>
  <si>
    <t>JugendXx.sav</t>
  </si>
  <si>
    <t>ASPIELER_HIDDEN</t>
  </si>
  <si>
    <t>%SECT%LAND (MULTIPLE)
  %SECT%VEREIN  (MULTIPLE)
    %SECT%TRAINER
    %SECT%MANAGER
    %SECT%SPIELER (MULTIPLE)
  %SECT%STADION  (MULTIPLE)
  %SECT%TRAINER
%SECT%EUROSIEGER
  Count of Sections
  HIDDEN EURO SIEGER (3 fields)</t>
  </si>
  <si>
    <t>International Countries, Teams, Players and some other stuff</t>
  </si>
  <si>
    <t>SonSpieler.sav</t>
  </si>
  <si>
    <t>%SECT%SONSPIELER
  Count of Sections
  %SECT%SPIELER (MULTIPLE)</t>
  </si>
  <si>
    <t>Ischiri.sav</t>
  </si>
  <si>
    <t>ExSpieler.sav</t>
  </si>
  <si>
    <t>ISCHIRI_HIDDEN</t>
  </si>
  <si>
    <t>Avereine.sav</t>
  </si>
  <si>
    <t>International Teams</t>
  </si>
  <si>
    <t>%SECT%IVEREINE
  %SECT%IVEREIN (MULTIPLE)</t>
  </si>
  <si>
    <t>Cleague.sav</t>
  </si>
  <si>
    <t>CL Groups</t>
  </si>
  <si>
    <t>%SECT%CLEAGUE
  Count of Sections
  %SECT%CLEAGUEGRP (MULTIPLE)</t>
  </si>
  <si>
    <t>EmWm.sav</t>
  </si>
  <si>
    <t>EM/WM Groups</t>
  </si>
  <si>
    <t>%SECT%EMGRP
  Count of Sections
  %SECT%TURNIERGRP (MULTIPLE)
%SECT%WMGRP
  Count of Sections
  %SECT%TURNIERGRP (MULTIPLE)</t>
  </si>
  <si>
    <t>Ex Spieler</t>
  </si>
  <si>
    <t>%SECT%EXSPIEL
  Count of Sections
  %SECT%SPIELER (MULTIPLE)</t>
  </si>
  <si>
    <t>%SECT%</t>
  </si>
  <si>
    <t>Laender</t>
  </si>
  <si>
    <t>Managers</t>
  </si>
  <si>
    <t>Trainers</t>
  </si>
  <si>
    <t>Vereine (Hidden Part)</t>
  </si>
  <si>
    <t>Stadion</t>
  </si>
  <si>
    <t>Amateur Vereine</t>
  </si>
  <si>
    <t>Schiris</t>
  </si>
  <si>
    <t>Sponsoren</t>
  </si>
  <si>
    <t>Torwart Trainer</t>
  </si>
  <si>
    <t>Ajugend (Hidden)</t>
  </si>
  <si>
    <t>Kritiker</t>
  </si>
  <si>
    <t>Promis</t>
  </si>
  <si>
    <t>Reporter</t>
  </si>
  <si>
    <t>Vereinspraesident</t>
  </si>
  <si>
    <t>Amateur Spieler (Hidden)</t>
  </si>
  <si>
    <t>Nationen</t>
  </si>
  <si>
    <t>Internationale Schiris (Hidden)</t>
  </si>
  <si>
    <t>Internationale Vereine</t>
  </si>
  <si>
    <t>Champions league Groups</t>
  </si>
  <si>
    <t>Em/Wm Gruppen</t>
  </si>
  <si>
    <t>Column32</t>
  </si>
  <si>
    <t>Fields Identified</t>
  </si>
  <si>
    <t>%ENDSECT%MANAGER</t>
  </si>
  <si>
    <t>Kompetenz</t>
  </si>
  <si>
    <t>NONE</t>
  </si>
  <si>
    <t>SOME</t>
  </si>
  <si>
    <t>ALL</t>
  </si>
  <si>
    <t>N/A</t>
  </si>
  <si>
    <t>%ENDSECT%TRAINER</t>
  </si>
  <si>
    <t>Ruf</t>
  </si>
  <si>
    <t>Kumpeltyp</t>
  </si>
  <si>
    <t>Lustiger Geselle</t>
  </si>
  <si>
    <t>PR-Mann</t>
  </si>
  <si>
    <t>Wissenschaftler</t>
  </si>
  <si>
    <t>Keiner</t>
  </si>
  <si>
    <t>Motivationskuenstler</t>
  </si>
  <si>
    <t>Schleifer</t>
  </si>
  <si>
    <t>UNKNOWN</t>
  </si>
  <si>
    <t>%ENDSECT%TWTRAINER</t>
  </si>
  <si>
    <t>%ENDSECT%KRITIKER</t>
  </si>
  <si>
    <t>%ENDSECT%PROMI</t>
  </si>
  <si>
    <t>Lieblingsverein</t>
  </si>
  <si>
    <t>%ENDSECT%REPORTER</t>
  </si>
  <si>
    <t>Sender</t>
  </si>
  <si>
    <t>Lieb</t>
  </si>
  <si>
    <t>Neutral</t>
  </si>
  <si>
    <t>%ENDSECT%VPRAESID</t>
  </si>
  <si>
    <t>%ENDSECT%SCHIRI</t>
  </si>
  <si>
    <t>Haerte</t>
  </si>
  <si>
    <t>UnbeliebterVerein</t>
  </si>
  <si>
    <t>Schiedsrichtereigenschaften</t>
  </si>
  <si>
    <t>BITMASK</t>
  </si>
  <si>
    <t>Heimschiedsrichter</t>
  </si>
  <si>
    <t>Gastschiedsrichter</t>
  </si>
  <si>
    <t>hasst Zeitspiel</t>
  </si>
  <si>
    <t>hasst Meckern</t>
  </si>
  <si>
    <t>hasst Coaching</t>
  </si>
  <si>
    <t>Nationalitaet</t>
  </si>
  <si>
    <t>%ENDSECT%AMATEURV</t>
  </si>
  <si>
    <t>%ENDSECT%LAND</t>
  </si>
  <si>
    <t>Pokalwettbewerb</t>
  </si>
  <si>
    <t>%ENDSECT%NATION</t>
  </si>
  <si>
    <t>Kuerzel</t>
  </si>
  <si>
    <t>%ENDSECT%IVEREIN</t>
  </si>
  <si>
    <t>%ENDSECT%CLEAGUEGRP</t>
  </si>
  <si>
    <t>GruppenNummer</t>
  </si>
  <si>
    <t>AnzahlTeams</t>
  </si>
  <si>
    <t>Land1</t>
  </si>
  <si>
    <t>Land2</t>
  </si>
  <si>
    <t>Land3</t>
  </si>
  <si>
    <t>Land4</t>
  </si>
  <si>
    <t>Verein1</t>
  </si>
  <si>
    <t>Verein2</t>
  </si>
  <si>
    <t>Verein3</t>
  </si>
  <si>
    <t>Verein4</t>
  </si>
  <si>
    <t>%ENDSECT%TURNIERGRP</t>
  </si>
  <si>
    <t>UNKNWON</t>
  </si>
  <si>
    <t>%ENDSECT%SPONSOR</t>
  </si>
  <si>
    <t>Sponsorennahme</t>
  </si>
  <si>
    <t>Schriftart</t>
  </si>
  <si>
    <t>%ENDSECT%STADION</t>
  </si>
  <si>
    <t>Stadionnahme</t>
  </si>
  <si>
    <t>Ort</t>
  </si>
  <si>
    <t>Heimtribuene</t>
  </si>
  <si>
    <t>Haupt</t>
  </si>
  <si>
    <t>Gegen</t>
  </si>
  <si>
    <t>Links</t>
  </si>
  <si>
    <t>Rechts</t>
  </si>
  <si>
    <t>TribueneRechts_VIP</t>
  </si>
  <si>
    <t>Flutlicht</t>
  </si>
  <si>
    <t>TribueneRechts_SITZ</t>
  </si>
  <si>
    <t>TribueneRechts_STEH</t>
  </si>
  <si>
    <t>TribueneLinks_SITZ</t>
  </si>
  <si>
    <t>Gegentribuene_SITZ</t>
  </si>
  <si>
    <t>Haupttribuene_SITZ</t>
  </si>
  <si>
    <t>Haupttribuene_STEH</t>
  </si>
  <si>
    <t>Sitzkissen</t>
  </si>
  <si>
    <t>Haupttribuene_VIP</t>
  </si>
  <si>
    <t>Gegentribuene_STEH</t>
  </si>
  <si>
    <t>Luxuskabinen</t>
  </si>
  <si>
    <t>ImBesitzDesVereins</t>
  </si>
  <si>
    <t>Citylage</t>
  </si>
  <si>
    <t>Rasenheizung</t>
  </si>
  <si>
    <t>Fernsehturm</t>
  </si>
  <si>
    <t>Waermestrahler</t>
  </si>
  <si>
    <t>TribueneLinks_STEH</t>
  </si>
  <si>
    <t>Gegentribuene</t>
  </si>
  <si>
    <t>Autobahnanbindung</t>
  </si>
  <si>
    <t>Haupttribuene_ZUSTAND</t>
  </si>
  <si>
    <t>ZUSTAND</t>
  </si>
  <si>
    <t>Neu</t>
  </si>
  <si>
    <t>Fast Neu</t>
  </si>
  <si>
    <t>Unmodern</t>
  </si>
  <si>
    <t>Angestaubt</t>
  </si>
  <si>
    <t>Baufaellig</t>
  </si>
  <si>
    <t>Vermodert</t>
  </si>
  <si>
    <t>Verfallen</t>
  </si>
  <si>
    <t>Gegentribuene_ZUSTAND</t>
  </si>
  <si>
    <t>Gegentribuene_VIP</t>
  </si>
  <si>
    <t>TribueneLinks_VIP</t>
  </si>
  <si>
    <t>TribueneLinks_ZUSTAND</t>
  </si>
  <si>
    <t>TribueneRechts_ZUSTAND</t>
  </si>
  <si>
    <t>Dach</t>
  </si>
  <si>
    <t>Laufbahn</t>
  </si>
  <si>
    <t>BeheizbareSitze</t>
  </si>
  <si>
    <t>AusfahrbaresSpielfeld</t>
  </si>
  <si>
    <t>Berge</t>
  </si>
  <si>
    <t>Burg</t>
  </si>
  <si>
    <t>Schloss</t>
  </si>
  <si>
    <t>Anzeigetafel</t>
  </si>
  <si>
    <t>Videowand</t>
  </si>
  <si>
    <t>Torschilder</t>
  </si>
  <si>
    <t>Keine Tafel</t>
  </si>
  <si>
    <t>kleine LED-Tafel</t>
  </si>
  <si>
    <t>grosse LED-Tafel</t>
  </si>
  <si>
    <t>Heim/Gegen Tribuene</t>
  </si>
  <si>
    <t>Kein</t>
  </si>
  <si>
    <t>Dach/Waermestrahler</t>
  </si>
  <si>
    <t>ALWAYS 0</t>
  </si>
  <si>
    <t>--&gt;</t>
  </si>
  <si>
    <t>Hidden Verein Section after Manager</t>
  </si>
  <si>
    <t>LigaYXxx.sav</t>
  </si>
  <si>
    <t>Game Schedules</t>
  </si>
  <si>
    <t>%SECT%VEREIN'!A1</t>
  </si>
  <si>
    <t>???</t>
  </si>
  <si>
    <t>GuthabenBeiSpielbeginn</t>
  </si>
  <si>
    <t>Million * 100, Store 400 for 4 MIO</t>
  </si>
  <si>
    <t>KuerzelArtikel</t>
  </si>
  <si>
    <t>Fanaufkommen</t>
  </si>
  <si>
    <t>ArtDerFans</t>
  </si>
  <si>
    <t>FanfreundschaftMit</t>
  </si>
  <si>
    <t>Erzrivale</t>
  </si>
  <si>
    <t>Vorstand</t>
  </si>
  <si>
    <t>Pokalmannschaft</t>
  </si>
  <si>
    <t>LANDKARTE, GRUENER PUNKT???</t>
  </si>
  <si>
    <t>Opposition</t>
  </si>
  <si>
    <t>Finanzkraft</t>
  </si>
  <si>
    <t>MaxFanaufkommen</t>
  </si>
  <si>
    <t>Hooligans</t>
  </si>
  <si>
    <t>Medienstadt</t>
  </si>
  <si>
    <t>Vorsitzender_Nachnahme</t>
  </si>
  <si>
    <t>Vorsitzender_Vornahme</t>
  </si>
  <si>
    <t>EwigeTabelle_ErzielteTore</t>
  </si>
  <si>
    <t>EwigeTabelle_KassierteTore</t>
  </si>
  <si>
    <t>EwigeTabelle_Spiele</t>
  </si>
  <si>
    <t>EwigeTabelle_Punkte</t>
  </si>
  <si>
    <t>Aktiengesellschaft</t>
  </si>
  <si>
    <t>Titel_Meisterschaften</t>
  </si>
  <si>
    <t>Titel_Pokale</t>
  </si>
  <si>
    <t>Titel_Ligapokale</t>
  </si>
  <si>
    <t>Titel_ChampionsLeagues</t>
  </si>
  <si>
    <t>Titel_Weltpokale</t>
  </si>
  <si>
    <t>RegionalligaAb2000</t>
  </si>
  <si>
    <t>Gruendungsjahr</t>
  </si>
  <si>
    <t>Heimtrikot_Farbe2</t>
  </si>
  <si>
    <t>Heimtrikot_HosenFarbe</t>
  </si>
  <si>
    <t>Auswaertztrikot_Farbe2</t>
  </si>
  <si>
    <t>Auswaertztrikot_HosenFarbe</t>
  </si>
  <si>
    <t>LANDKARTE, ROTER PUNKT???</t>
  </si>
  <si>
    <t>Vorsitzender_Geburtdatum</t>
  </si>
  <si>
    <t>Values in some Countries</t>
  </si>
  <si>
    <t>ProfiabteilungVon</t>
  </si>
  <si>
    <t>AmateurabteilungVon</t>
  </si>
  <si>
    <t>Heimtrikot_Farbe1_UndMuster</t>
  </si>
  <si>
    <t>Auswaertztrikot_Farbe1_UndMuster</t>
  </si>
  <si>
    <t>Heimtrikot_StutzenFarbe_UndRingelsocken</t>
  </si>
  <si>
    <t>Auswaertztrikot_StutzenFarbe_UndRingelsocken</t>
  </si>
  <si>
    <t>Titel_EuropaLeagues</t>
  </si>
  <si>
    <t>Column13</t>
  </si>
  <si>
    <t>SPIELPLAN_VEREIN_HIDDEN</t>
  </si>
  <si>
    <t>Liga Information</t>
  </si>
  <si>
    <t>Spielplan Vereine</t>
  </si>
  <si>
    <t>Spiele (Spielplan)</t>
  </si>
  <si>
    <t>0 - 9 -&gt;</t>
  </si>
  <si>
    <t>Based on Order in Laender.sav</t>
  </si>
  <si>
    <t>HIDDEN SUB SECTIONS</t>
  </si>
  <si>
    <t>%ENDSECT%LIGA</t>
  </si>
  <si>
    <t>Liga name</t>
  </si>
  <si>
    <t>Liga name short</t>
  </si>
  <si>
    <t>Nummer des Vereins entsprechend der Reihenfolge in der Datei (z.b. LandDeu.sav)</t>
  </si>
  <si>
    <t>Nummer des Landes gemaess der Reihenfolge in Laender.sav (angefangen mit 0)</t>
  </si>
  <si>
    <t>%SECT%AJUGEND'!A1</t>
  </si>
  <si>
    <t>Column33</t>
  </si>
  <si>
    <t>Double Checked</t>
  </si>
  <si>
    <t>Vereinszahl</t>
  </si>
  <si>
    <t>-&gt;</t>
  </si>
  <si>
    <t>0 - Nein
1 - Ja</t>
  </si>
  <si>
    <t>Vereinsanzahl</t>
  </si>
  <si>
    <t>SPIEL_HIDDEN</t>
  </si>
  <si>
    <t>Heimmannschaft</t>
  </si>
  <si>
    <t>Auswaertsmannschaft</t>
  </si>
  <si>
    <t>Reihenfolge von Section SPIELPLAN_VEREIN_HIDDEN</t>
  </si>
  <si>
    <t>Farbe</t>
  </si>
  <si>
    <t>Weiss</t>
  </si>
  <si>
    <t>Rot</t>
  </si>
  <si>
    <t>Gelb</t>
  </si>
  <si>
    <t>Blau</t>
  </si>
  <si>
    <t>Hellgruen</t>
  </si>
  <si>
    <t>Gruen</t>
  </si>
  <si>
    <t>Tuerkis</t>
  </si>
  <si>
    <t>Hellblau</t>
  </si>
  <si>
    <t>Braun</t>
  </si>
  <si>
    <t>Lila</t>
  </si>
  <si>
    <t>Orange</t>
  </si>
  <si>
    <t>Schwarz</t>
  </si>
  <si>
    <t>Weinrot</t>
  </si>
  <si>
    <t>-&gt; Farbe</t>
  </si>
  <si>
    <t>Laengs</t>
  </si>
  <si>
    <t>Quer</t>
  </si>
  <si>
    <t>Halb/Halb</t>
  </si>
  <si>
    <t>Schulter</t>
  </si>
  <si>
    <t>Brustring</t>
  </si>
  <si>
    <t>Aermel</t>
  </si>
  <si>
    <t>Mittelstr.</t>
  </si>
  <si>
    <t>Kariert</t>
  </si>
  <si>
    <t>Schraeg</t>
  </si>
  <si>
    <t>Ja</t>
  </si>
  <si>
    <t>Nein</t>
  </si>
  <si>
    <t>Muster</t>
  </si>
  <si>
    <t>-&gt; Farbe + Muster</t>
  </si>
  <si>
    <t>Ringelsocken</t>
  </si>
  <si>
    <t>Keins</t>
  </si>
  <si>
    <t>Der</t>
  </si>
  <si>
    <t>Die</t>
  </si>
  <si>
    <t>-&gt; Farbe + Ringelsocken</t>
  </si>
  <si>
    <t>Bescheiden</t>
  </si>
  <si>
    <t>Aermlich</t>
  </si>
  <si>
    <t>Wahre Horden</t>
  </si>
  <si>
    <t>Sehr Hoch</t>
  </si>
  <si>
    <t>Durchschnittlich</t>
  </si>
  <si>
    <t>Hoch</t>
  </si>
  <si>
    <t>Fans?</t>
  </si>
  <si>
    <t>-&gt; Kuerzl</t>
  </si>
  <si>
    <t>-&gt; Fanaufkommen</t>
  </si>
  <si>
    <t>Erfolgshungrig</t>
  </si>
  <si>
    <t>Verwoehnt</t>
  </si>
  <si>
    <t>Normal</t>
  </si>
  <si>
    <t>Frustriert</t>
  </si>
  <si>
    <t>Anspruchsvoll</t>
  </si>
  <si>
    <t>Euphorisch</t>
  </si>
  <si>
    <t>Treu</t>
  </si>
  <si>
    <t>Lautstark</t>
  </si>
  <si>
    <t>-&gt; ArtDerFans</t>
  </si>
  <si>
    <t xml:space="preserve">Nummer des Vereins entsprechend der Reihenfolge in der Datei (z.b. LandDeu.sav) </t>
  </si>
  <si>
    <t>Pulverfass</t>
  </si>
  <si>
    <t>Souveraen</t>
  </si>
  <si>
    <t>Nervoes</t>
  </si>
  <si>
    <t>Schleudersitz</t>
  </si>
  <si>
    <t>-&gt; Vorstand</t>
  </si>
  <si>
    <t>Nicht Vorhanden</t>
  </si>
  <si>
    <t>Formiert Sich</t>
  </si>
  <si>
    <t>Konkurenzfaehig</t>
  </si>
  <si>
    <t>Nur Stuemper</t>
  </si>
  <si>
    <t>Durchaus Vorhanden</t>
  </si>
  <si>
    <t>Sehr Stark</t>
  </si>
  <si>
    <t>Maechtig und Kompetent</t>
  </si>
  <si>
    <t>-&gt; Opposition</t>
  </si>
  <si>
    <t>Minimal</t>
  </si>
  <si>
    <t>Gesegnet</t>
  </si>
  <si>
    <t>Gut</t>
  </si>
  <si>
    <t>Schlecht</t>
  </si>
  <si>
    <t>Solide</t>
  </si>
  <si>
    <t>Wenig</t>
  </si>
  <si>
    <t>Reich</t>
  </si>
  <si>
    <t>-&gt; Finanzkraft</t>
  </si>
  <si>
    <t>Wenige und Feige</t>
  </si>
  <si>
    <t>Ein Paar, Aber Kraeftige</t>
  </si>
  <si>
    <t>Viele und Schlimme</t>
  </si>
  <si>
    <t>-&gt; Hooligans</t>
  </si>
  <si>
    <t>Hell</t>
  </si>
  <si>
    <t>Dunkel</t>
  </si>
  <si>
    <t>Asiatisch</t>
  </si>
  <si>
    <t>-&gt; Hautfarbe</t>
  </si>
  <si>
    <t>Hellblond</t>
  </si>
  <si>
    <t>Blond</t>
  </si>
  <si>
    <t>Glatze</t>
  </si>
  <si>
    <t>Grau</t>
  </si>
  <si>
    <t>-&gt; Haarfarbe</t>
  </si>
  <si>
    <t>Letztes Land (Only in ExSpiel.sav)</t>
  </si>
  <si>
    <t>Letzter Verein (Only in ExSpiel.sav)</t>
  </si>
  <si>
    <t>Fussballinlaender</t>
  </si>
  <si>
    <t>-&gt; Land + Fussballinlaender</t>
  </si>
  <si>
    <t>-&gt; Hauptposition</t>
  </si>
  <si>
    <t>Keine</t>
  </si>
  <si>
    <t>Elfmetertoeter</t>
  </si>
  <si>
    <t>Starke Reflexe</t>
  </si>
  <si>
    <t>Herauslaufen</t>
  </si>
  <si>
    <t>Flanken</t>
  </si>
  <si>
    <t>Fausten</t>
  </si>
  <si>
    <t>Ballsicherheit</t>
  </si>
  <si>
    <t>Schnelligkeit</t>
  </si>
  <si>
    <t>Weite Abschlaege</t>
  </si>
  <si>
    <t>Weite Abwuerfe</t>
  </si>
  <si>
    <t>Torwartfahigkeiten</t>
  </si>
  <si>
    <t>Spielerfaehigkeiten</t>
  </si>
  <si>
    <t xml:space="preserve">Kopfball         </t>
  </si>
  <si>
    <t xml:space="preserve">Zweikampf         </t>
  </si>
  <si>
    <t xml:space="preserve">Schnelligkeit        </t>
  </si>
  <si>
    <t xml:space="preserve">Schusskraft         </t>
  </si>
  <si>
    <t xml:space="preserve">Elfmeter         </t>
  </si>
  <si>
    <t xml:space="preserve">Freistoesse         </t>
  </si>
  <si>
    <t xml:space="preserve">Flanken          </t>
  </si>
  <si>
    <t xml:space="preserve">Torinstinkt         </t>
  </si>
  <si>
    <t xml:space="preserve">Laufstareke         </t>
  </si>
  <si>
    <t xml:space="preserve">Technick         </t>
  </si>
  <si>
    <t xml:space="preserve">Ballzauberer        </t>
  </si>
  <si>
    <t xml:space="preserve">Spielmacher         </t>
  </si>
  <si>
    <t xml:space="preserve">Viererkette         </t>
  </si>
  <si>
    <t xml:space="preserve">Spieluebersicht        </t>
  </si>
  <si>
    <t xml:space="preserve">Ball halten         </t>
  </si>
  <si>
    <t xml:space="preserve">Dribbling </t>
  </si>
  <si>
    <t>-&gt; Towratfaehigkeiten oder Spielerfaehigkeiten</t>
  </si>
  <si>
    <t>Eigenschaften</t>
  </si>
  <si>
    <t xml:space="preserve">Kaempfernatur              </t>
  </si>
  <si>
    <t xml:space="preserve">Trainingsweltmeister      </t>
  </si>
  <si>
    <t xml:space="preserve">TrainingsfaulerSpieler      </t>
  </si>
  <si>
    <t xml:space="preserve">Treter                      </t>
  </si>
  <si>
    <t xml:space="preserve">FairerSpieler              </t>
  </si>
  <si>
    <t xml:space="preserve">Mimose                      </t>
  </si>
  <si>
    <t xml:space="preserve">Schlitzohr                  </t>
  </si>
  <si>
    <t xml:space="preserve">Spezialist                  </t>
  </si>
  <si>
    <t xml:space="preserve">Allrounder                  </t>
  </si>
  <si>
    <t xml:space="preserve">FlexiblerSpieler             </t>
  </si>
  <si>
    <t xml:space="preserve">Schiriliebling                </t>
  </si>
  <si>
    <t xml:space="preserve">Heimspieler                    </t>
  </si>
  <si>
    <t xml:space="preserve">Schoenwetterfussballer        </t>
  </si>
  <si>
    <t xml:space="preserve">Joker                      </t>
  </si>
  <si>
    <t xml:space="preserve">Egoist                      </t>
  </si>
  <si>
    <t xml:space="preserve">BruderLeichtfuss </t>
  </si>
  <si>
    <t>-&gt; Eigenschaften</t>
  </si>
  <si>
    <t>Charakter</t>
  </si>
  <si>
    <t xml:space="preserve">Keine                    </t>
  </si>
  <si>
    <t xml:space="preserve">Fuehrungsperson      </t>
  </si>
  <si>
    <t xml:space="preserve">Hitzkopf          </t>
  </si>
  <si>
    <t xml:space="preserve">Frohnatur          </t>
  </si>
  <si>
    <t xml:space="preserve">Nervenbuendel      </t>
  </si>
  <si>
    <t xml:space="preserve">Phlegmatiker      </t>
  </si>
  <si>
    <t xml:space="preserve">Geldgeier          </t>
  </si>
  <si>
    <t xml:space="preserve">Vereinsanhaenger  </t>
  </si>
  <si>
    <t xml:space="preserve">Musterprofi          </t>
  </si>
  <si>
    <t xml:space="preserve">Skandalnudel      </t>
  </si>
  <si>
    <t xml:space="preserve">Sensibelchen      </t>
  </si>
  <si>
    <t xml:space="preserve">Staralueren          </t>
  </si>
  <si>
    <t xml:space="preserve">Teenie-Star          </t>
  </si>
  <si>
    <t xml:space="preserve">Unruhestifter      </t>
  </si>
  <si>
    <t xml:space="preserve">Leberwurst          </t>
  </si>
  <si>
    <t xml:space="preserve">Integrationsfigur    </t>
  </si>
  <si>
    <t>-&gt; Charakter</t>
  </si>
  <si>
    <t>Beide</t>
  </si>
  <si>
    <t>-&gt; Fuss</t>
  </si>
  <si>
    <t>Megatalent</t>
  </si>
  <si>
    <t>Wenig Begabt</t>
  </si>
  <si>
    <t>Zwei Linke Fuesse</t>
  </si>
  <si>
    <t>-&gt; Talent</t>
  </si>
  <si>
    <t>Gesundheit</t>
  </si>
  <si>
    <t>Robust</t>
  </si>
  <si>
    <t>Anfaellig</t>
  </si>
  <si>
    <t>Knieprobleme</t>
  </si>
  <si>
    <t>Schnell wieder Fit</t>
  </si>
  <si>
    <t>Dauert bis wieder Fit</t>
  </si>
  <si>
    <t>Wehleidig</t>
  </si>
  <si>
    <t>-&gt; Gesundheit</t>
  </si>
  <si>
    <t>Publikum</t>
  </si>
  <si>
    <t>Liebling</t>
  </si>
  <si>
    <t>Hassfigur</t>
  </si>
  <si>
    <t>-&gt; Publikum</t>
  </si>
  <si>
    <t>Nummer des Landes gemaess der Reihenfolge in Laender sav (angefangen mit 0)</t>
  </si>
  <si>
    <t>Nationalspieler + 
Ruecktritt Nationalspieler</t>
  </si>
  <si>
    <t>Ruecktritt</t>
  </si>
  <si>
    <t>Kein National Spieler</t>
  </si>
  <si>
    <t>Nationalispieler</t>
  </si>
  <si>
    <t>-&gt; Nationalspieler + Ruecktritt (Summe)</t>
  </si>
  <si>
    <t>Haar</t>
  </si>
  <si>
    <t>Bart</t>
  </si>
  <si>
    <t>Extrem Kurz</t>
  </si>
  <si>
    <t>Kurz</t>
  </si>
  <si>
    <t>Wuschelkopf</t>
  </si>
  <si>
    <t>Lang</t>
  </si>
  <si>
    <t>Unrasiert</t>
  </si>
  <si>
    <t>Schnurbart</t>
  </si>
  <si>
    <t>Ziegenbart</t>
  </si>
  <si>
    <t>-&gt; Haar + Bart (Bart nicht erlaubte kombinationen = 3, 7, 10, 11)</t>
  </si>
  <si>
    <t>Haar + Bart</t>
  </si>
  <si>
    <t>%SECT%ISCHIRI
  HIDDEN ISCHIRI (MULTIPLE)</t>
  </si>
  <si>
    <t>%SECT%ASPIELER
  HIDDEN ASPIELER (MULTIPLE)</t>
  </si>
  <si>
    <t>%SECT%NATION (MULTIPLE)</t>
  </si>
  <si>
    <t xml:space="preserve">%SECT%LAND
  %SECT%VEREIN (MULTIPLE)
    %SECT%TRAINER
    %SECT%MANAGER
    HIDDEN VEREIN (NO % TAGS)
    %SECT%SPIELER (MULTIPLE)
  %SECT%STADION (For Verein)
  %SECT%AMATEURV (MULTIPLE)
  %SECT%TRAINER (Nationalmannschaft)
  %SECT%AJUGEND
    HIDDEN AJUGEND (MULTIPLE)
  %SECT%TRAINERP (Trainer Section Start)
    %SECT%TRAINER (MULTIPLE)
  %SECT%TWTRAINP (TW Trainer Section Start)
    %SECT%TWTRAINER (MULTIPLE)
  %SECT%MANAGERP (Manager Section Start)
    %SECT%MANAGER (MULTIPLE)
  %SECT%SCHIRIP (Schiri Section Start)
    %SECT%SCHIRI (MULTIPLE)
  %SECT%SPONSORP (Sponsor Section Start)
    %SECT%SPONSOR (MULTIPLE)
  %SECT%PROMIP (Promi Section Start)
    %SECT%PROMI (MULTIPLE)
  %SECT%MEDIAP (Media Section Start)
    %SECT%REPORTER (MULTIPLE)
  %SECT%KRITIP (Kritiker Section Start)
    %SECT%KRITIKER (MULTIPLE)
  %SECT%VPRAESID
</t>
  </si>
  <si>
    <t>Liga1Deu.sav
Liga2Deu.sav
Liga1Fra.sav
liga1hol.sav
Liga1Ita.sav
liga1por.sav
LigaRLNo.sav
LigaRLOs.sav
LigaRLSu.sav
LigaRLSW.sav
Liga1Eng.sav
liga1oes.sav
liga1sch.sav
Liga1Spa.sav
liga1swz.sav
liga1tue.sav
Liga2Eng.sav
Liga2Fra.sav
liga2ita.sav
liga2spa.sav
Liga3Eng.sav
Liga3Ita.sav
liga4eng.sav
liga1bon.sav</t>
  </si>
  <si>
    <t>International Referees</t>
  </si>
  <si>
    <t>Countries</t>
  </si>
  <si>
    <t>Players, Teams, Managers….. In a Country</t>
  </si>
  <si>
    <t>Other Players</t>
  </si>
  <si>
    <t>%SECT%LIGA
  HIDDEN TEAM LIST
  HIDDEN FIXTURES (MULTIPLE)</t>
  </si>
  <si>
    <t>V0.01</t>
  </si>
  <si>
    <t>V0.02</t>
  </si>
  <si>
    <t>V0.03</t>
  </si>
  <si>
    <t>V0.04</t>
  </si>
  <si>
    <t>V0.05</t>
  </si>
  <si>
    <t>V0.06</t>
  </si>
  <si>
    <t>V0.07</t>
  </si>
  <si>
    <t>V0.08</t>
  </si>
  <si>
    <t>V0.09</t>
  </si>
  <si>
    <t>V0.10</t>
  </si>
  <si>
    <t>V0.11</t>
  </si>
  <si>
    <t>V0.12</t>
  </si>
  <si>
    <t>Verein</t>
  </si>
  <si>
    <t>Position</t>
  </si>
  <si>
    <t>BITPATTERN</t>
  </si>
  <si>
    <t>Nord</t>
  </si>
  <si>
    <t>Sued</t>
  </si>
  <si>
    <t xml:space="preserve">MannOhneNerven      </t>
  </si>
  <si>
    <t>Hasst Meckern</t>
  </si>
  <si>
    <t>Hasst Zeitspiel</t>
  </si>
  <si>
    <t>Hasst Coaching</t>
  </si>
  <si>
    <t>Nationalspieler &amp; Ruecktritt</t>
  </si>
  <si>
    <t>Boese</t>
  </si>
  <si>
    <t>BoeseLieb</t>
  </si>
  <si>
    <t>FALSCH??? NICHT HIER</t>
  </si>
  <si>
    <t>Sect Type</t>
  </si>
  <si>
    <t>Sect Details</t>
  </si>
  <si>
    <t>%SECT
  Data
%ENDSECT</t>
  </si>
  <si>
    <t>SECT</t>
  </si>
  <si>
    <t>SECT/HIDDEN</t>
  </si>
  <si>
    <t>SECT/Count/SECT</t>
  </si>
  <si>
    <t>%SECT
  HIDDEN SUB SECT (Multiple)
%ENDSECT</t>
  </si>
  <si>
    <t>%SECT
  Count of Sub Sects
  %SECT (Multiple)
  %ENDSECT
%ENDSECT</t>
  </si>
  <si>
    <t>%SECT
  %SECT (Multiple)
  %ENDSECT
%ENDSECT</t>
  </si>
  <si>
    <t>SECT/SECT</t>
  </si>
  <si>
    <t>Mix</t>
  </si>
  <si>
    <t>Special Sects</t>
  </si>
  <si>
    <t>%SECT
  %SECT (Multiple) - A
    %SECT (Multiple)
    %ENDSECT
    HIDDEN SUB SECT - for A
  %ENDSECT
%ENDSECT</t>
  </si>
  <si>
    <t>SECT/SECT/HIDDENT-A</t>
  </si>
  <si>
    <t>SECT/HIDDEN-MULTIPLE</t>
  </si>
  <si>
    <t>%SECT
  HIDDEN SUB SECT (Multiple)
  HIDDEN SUB SECT (Multiple)
%ENDSECT</t>
  </si>
  <si>
    <t>Cases when reading Data</t>
  </si>
  <si>
    <t>Belongs to %SECT</t>
  </si>
  <si>
    <t>Belongs to Hidden SECT</t>
  </si>
  <si>
    <t>Belongs to previously opened SECT</t>
  </si>
  <si>
    <t>Belongs to Previous SECT (already closed)</t>
  </si>
  <si>
    <t>Example/Rules</t>
  </si>
  <si>
    <t>Comment for implementation</t>
  </si>
  <si>
    <t>%ENDSECT%VEREIN
%SECT%STADION</t>
  </si>
  <si>
    <t>Keep the Last Verein, or always in the list or keep track of open Verein</t>
  </si>
  <si>
    <t>%ENDSECT%MANAGER
VEREIN HIDDEN</t>
  </si>
  <si>
    <t>Verein is still Open, comes after Manager, 
Writing: fine as before
Reading: Section is open</t>
  </si>
  <si>
    <t>Hidden Sections belongs to previous Section</t>
  </si>
  <si>
    <t>Normal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</si>
</sst>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3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top" wrapText="1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49" fontId="0" fillId="0" borderId="0" xfId="0" applyNumberFormat="1" applyAlignment="1">
      <alignment wrapText="1"/>
    </xf>
    <xf numFmtId="0" fontId="4" fillId="0" borderId="0" xfId="1" applyAlignment="1">
      <alignment wrapText="1"/>
    </xf>
    <xf numFmtId="0" fontId="2" fillId="0" borderId="0" xfId="1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wrapText="1"/>
    </xf>
    <xf numFmtId="0" fontId="7" fillId="0" borderId="0" xfId="1" applyFont="1" applyAlignment="1">
      <alignment horizontal="center" vertical="center" wrapText="1"/>
    </xf>
    <xf numFmtId="0" fontId="4" fillId="0" borderId="0" xfId="1" applyNumberFormat="1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6" fillId="0" borderId="0" xfId="0" applyFont="1" applyAlignment="1">
      <alignment vertical="center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 wrapText="1"/>
    </xf>
    <xf numFmtId="49" fontId="6" fillId="0" borderId="0" xfId="0" applyNumberFormat="1" applyFont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Font="1" applyAlignment="1">
      <alignment horizontal="center" vertical="top" wrapText="1"/>
    </xf>
    <xf numFmtId="49" fontId="3" fillId="0" borderId="0" xfId="0" applyNumberFormat="1" applyFont="1" applyAlignment="1">
      <alignment horizontal="center" vertical="top" wrapText="1"/>
    </xf>
    <xf numFmtId="0" fontId="5" fillId="0" borderId="0" xfId="1" applyFont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9" fillId="0" borderId="2" xfId="0" applyFont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1" quotePrefix="1" applyNumberFormat="1" applyAlignment="1">
      <alignment wrapText="1"/>
    </xf>
    <xf numFmtId="0" fontId="11" fillId="0" borderId="0" xfId="0" applyFont="1" applyAlignment="1">
      <alignment horizontal="center" vertical="top" wrapText="1"/>
    </xf>
    <xf numFmtId="0" fontId="1" fillId="0" borderId="1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49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2" xfId="0" applyFont="1" applyBorder="1"/>
    <xf numFmtId="0" fontId="0" fillId="0" borderId="0" xfId="0" applyAlignment="1">
      <alignment horizontal="left" wrapText="1"/>
    </xf>
    <xf numFmtId="0" fontId="0" fillId="0" borderId="0" xfId="0" applyBorder="1" applyAlignment="1">
      <alignment horizontal="left" vertical="center"/>
    </xf>
    <xf numFmtId="49" fontId="1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9" fontId="1" fillId="0" borderId="0" xfId="0" applyNumberFormat="1" applyFon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8" fillId="0" borderId="0" xfId="0" applyNumberFormat="1" applyFont="1" applyAlignment="1">
      <alignment horizontal="left" vertical="center" wrapText="1"/>
    </xf>
    <xf numFmtId="0" fontId="10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49" fontId="0" fillId="0" borderId="3" xfId="0" applyNumberForma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0" xfId="0" applyAlignment="1">
      <alignment horizontal="center"/>
    </xf>
  </cellXfs>
  <cellStyles count="2">
    <cellStyle name="Hyperlink" xfId="1" builtinId="8"/>
    <cellStyle name="Normal" xfId="0" builtinId="0"/>
  </cellStyles>
  <dxfs count="26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0" formatCode="General"/>
      <alignment textRotation="0" wrapText="1" indent="0" justifyLastLine="0" shrinkToFit="0" readingOrder="0"/>
    </dxf>
    <dxf>
      <numFmt numFmtId="30" formatCode="@"/>
      <alignment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1"/>
        <color theme="0"/>
        <name val="Calibri"/>
        <scheme val="minor"/>
      </font>
      <alignment horizontal="center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F17" totalsRowShown="0" headerRowDxfId="25">
  <autoFilter ref="A1:F17" xr:uid="{00000000-0009-0000-0100-000002000000}"/>
  <sortState ref="A2:G17">
    <sortCondition ref="E1:E17"/>
  </sortState>
  <tableColumns count="6">
    <tableColumn id="1" xr3:uid="{00000000-0010-0000-0000-000001000000}" name="Filename" dataDxfId="24"/>
    <tableColumn id="2" xr3:uid="{00000000-0010-0000-0000-000002000000}" name="Folder" dataDxfId="23"/>
    <tableColumn id="3" xr3:uid="{00000000-0010-0000-0000-000003000000}" name="Content Group" dataDxfId="22"/>
    <tableColumn id="4" xr3:uid="{00000000-0010-0000-0000-000004000000}" name="Content" dataDxfId="21"/>
    <tableColumn id="5" xr3:uid="{00000000-0010-0000-0000-000005000000}" name="File Pattern" dataDxfId="20"/>
    <tableColumn id="6" xr3:uid="{00000000-0010-0000-0000-000006000000}" name="Special Sects" dataDxfId="19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B3:R55" totalsRowShown="0" headerRowDxfId="18" dataDxfId="17">
  <autoFilter ref="B3:R55" xr:uid="{00000000-0009-0000-0100-000001000000}"/>
  <sortState ref="B4:R55">
    <sortCondition ref="B3:B55"/>
  </sortState>
  <tableColumns count="17">
    <tableColumn id="1" xr3:uid="{00000000-0010-0000-0100-000001000000}" name="Column1" dataDxfId="16"/>
    <tableColumn id="2" xr3:uid="{00000000-0010-0000-0100-000002000000}" name="Column2" dataDxfId="15" dataCellStyle="Hyperlink">
      <calculatedColumnFormula>HYPERLINK("#'" &amp; B4 &amp; "'!A1",B4)</calculatedColumnFormula>
    </tableColumn>
    <tableColumn id="13" xr3:uid="{00000000-0010-0000-0100-00000D000000}" name="Column22" dataDxfId="14" dataCellStyle="Hyperlink"/>
    <tableColumn id="16" xr3:uid="{00000000-0010-0000-0100-000010000000}" name="Column23" dataDxfId="13" dataCellStyle="Hyperlink"/>
    <tableColumn id="3" xr3:uid="{00000000-0010-0000-0100-000003000000}" name="Column3" dataDxfId="12"/>
    <tableColumn id="14" xr3:uid="{00000000-0010-0000-0100-00000E000000}" name="Column32" dataDxfId="11"/>
    <tableColumn id="17" xr3:uid="{00000000-0010-0000-0100-000011000000}" name="Column33" dataDxfId="10"/>
    <tableColumn id="4" xr3:uid="{00000000-0010-0000-0100-000004000000}" name="Column4" dataDxfId="9"/>
    <tableColumn id="5" xr3:uid="{00000000-0010-0000-0100-000005000000}" name="Column5" dataDxfId="8"/>
    <tableColumn id="6" xr3:uid="{00000000-0010-0000-0100-000006000000}" name="Column6" dataDxfId="7"/>
    <tableColumn id="7" xr3:uid="{00000000-0010-0000-0100-000007000000}" name="Column7" dataDxfId="6"/>
    <tableColumn id="8" xr3:uid="{00000000-0010-0000-0100-000008000000}" name="Column8" dataDxfId="5"/>
    <tableColumn id="9" xr3:uid="{00000000-0010-0000-0100-000009000000}" name="Column9" dataDxfId="4"/>
    <tableColumn id="10" xr3:uid="{00000000-0010-0000-0100-00000A000000}" name="Column10" dataDxfId="3"/>
    <tableColumn id="11" xr3:uid="{00000000-0010-0000-0100-00000B000000}" name="Column11" dataDxfId="2"/>
    <tableColumn id="12" xr3:uid="{00000000-0010-0000-0100-00000C000000}" name="Column12" dataDxfId="1"/>
    <tableColumn id="15" xr3:uid="{00000000-0010-0000-0100-00000F000000}" name="Column13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0"/>
  <dimension ref="A1:F67"/>
  <sheetViews>
    <sheetView topLeftCell="A7" workbookViewId="0">
      <selection activeCell="B9" sqref="B9"/>
    </sheetView>
  </sheetViews>
  <sheetFormatPr defaultRowHeight="15" x14ac:dyDescent="0.25"/>
  <cols>
    <col min="1" max="1" width="19.42578125" style="13" customWidth="1"/>
    <col min="2" max="2" width="15.28515625" style="15" bestFit="1" customWidth="1"/>
    <col min="3" max="3" width="4.28515625" style="15" bestFit="1" customWidth="1"/>
    <col min="4" max="4" width="9.140625" style="13"/>
    <col min="6" max="6" width="100.7109375" style="15" customWidth="1"/>
  </cols>
  <sheetData>
    <row r="1" spans="1:6" ht="150" x14ac:dyDescent="0.25">
      <c r="F1" s="16" t="str">
        <f>B2&amp;
B3&amp;
B4&amp;
B5&amp;
B6&amp;
B7&amp;
B8&amp;
B9&amp;
B10&amp;
B11&amp;
B12&amp;
B13&amp;
B14&amp;
B15&amp;
B16&amp;
B17&amp;
B18&amp;
B19&amp;
B20&amp;
B21&amp;
B22&amp;
B23&amp;
B24&amp;
B25&amp;
B26&amp;
B27&amp;
B28&amp;
B29&amp;
B30&amp;
B31&amp;
B32&amp;
B33&amp;
B34&amp;
B35&amp;
B36&amp;
B37&amp;
B38&amp;
B39&amp;
B40&amp;
B41&amp;
B42&amp;
B43&amp;
B44&amp;
B45&amp;
B46&amp;
B47&amp;
B48&amp;
B49&amp;
B50&amp;
B51&amp;
B52&amp;
B53&amp;
B54&amp;
B55&amp;
B56&amp;
B57&amp;
B58&amp;
B59&amp;
B60&amp;
B61&amp;
B62&amp;
B63&amp;
B64&amp;
B65&amp;
B66&amp;
B67</f>
        <v xml:space="preserve">"AVereine.sav", "Bonus1.sav", "CLeague.sav", "EMWM.sav", "ExSpiel.sav", "Fangesa.sav", "Fanwaves.sav", "Internat.sav", "ISchiris.sav", "Jugend1.sav", "Jugend10.sav", "Jugend11.sav", "Jugend12.sav", "Jugend13.sav", "Jugend14.sav", "Jugend15.sav", "Jugend16.sav", "Jugend17.sav", "Jugend18.sav", "Jugend2.sav", "Jugend3.sav", "Jugend4.sav", "Jugend5.sav", "Jugend6.sav", "Jugend7.sav", "Jugend8.sav", "Jugend9.sav", "Kleinig.sav", "Laender.sav", "LandDeut.sav", "LandEngl.sav", "LandFran.sav", "LandHoll.sav", "LandItal.sav", "LandOest.sav", "LandPort.sav", "LandScho.sav", "LandSchw.sav", "LandSpan.sav", "LandTuer.sav", "liga1bon.sav", "Liga1Deu.sav", "Liga1Eng.sav", "Liga1Fra.sav", "liga1hol.sav", "Liga1Ita.sav", "liga1oes.sav", "liga1por.sav", "liga1sch.sav", "Liga1Spa.sav", "liga1swz.sav", "liga1tue.sav", "Liga2Deu.sav", "Liga2Eng.sav", "Liga2Fra.sav", "liga2ita.sav", "liga2spa.sav", "Liga3Eng.sav", "Liga3Ita.sav", "liga4eng.sav", "LigaRLNo.sav", "LigaRLOs.sav", "LigaRLSu.sav", "LigaRLSW.sav", "Quiz.sav", "SonSpiel.sav", </v>
      </c>
    </row>
    <row r="2" spans="1:6" x14ac:dyDescent="0.25">
      <c r="A2" s="13" t="s">
        <v>3</v>
      </c>
      <c r="B2" s="14" t="str">
        <f>CHAR(34)&amp;A2&amp;CHAR(34)&amp;", "</f>
        <v xml:space="preserve">"AVereine.sav", </v>
      </c>
      <c r="C2" s="15" t="s">
        <v>185</v>
      </c>
      <c r="D2" s="13" t="s">
        <v>184</v>
      </c>
      <c r="E2" t="str">
        <f>C2&amp;D2</f>
        <v>B1&amp;</v>
      </c>
    </row>
    <row r="3" spans="1:6" x14ac:dyDescent="0.25">
      <c r="A3" s="13" t="s">
        <v>4</v>
      </c>
      <c r="B3" s="14" t="str">
        <f t="shared" ref="B3:B66" si="0">CHAR(34)&amp;A3&amp;CHAR(34)&amp;", "</f>
        <v xml:space="preserve">"Bonus1.sav", </v>
      </c>
      <c r="C3" s="15" t="s">
        <v>186</v>
      </c>
      <c r="D3" s="13" t="s">
        <v>184</v>
      </c>
      <c r="E3" t="str">
        <f t="shared" ref="E3:E66" si="1">C3&amp;D3</f>
        <v>B2&amp;</v>
      </c>
    </row>
    <row r="4" spans="1:6" x14ac:dyDescent="0.25">
      <c r="A4" s="13" t="s">
        <v>5</v>
      </c>
      <c r="B4" s="14" t="str">
        <f t="shared" si="0"/>
        <v xml:space="preserve">"CLeague.sav", </v>
      </c>
      <c r="C4" s="15" t="s">
        <v>187</v>
      </c>
      <c r="D4" s="13" t="s">
        <v>184</v>
      </c>
      <c r="E4" t="str">
        <f t="shared" si="1"/>
        <v>B3&amp;</v>
      </c>
    </row>
    <row r="5" spans="1:6" x14ac:dyDescent="0.25">
      <c r="A5" s="13" t="s">
        <v>6</v>
      </c>
      <c r="B5" s="14" t="str">
        <f t="shared" si="0"/>
        <v xml:space="preserve">"EMWM.sav", </v>
      </c>
      <c r="C5" s="15" t="s">
        <v>188</v>
      </c>
      <c r="D5" s="13" t="s">
        <v>184</v>
      </c>
      <c r="E5" t="str">
        <f t="shared" si="1"/>
        <v>B4&amp;</v>
      </c>
    </row>
    <row r="6" spans="1:6" x14ac:dyDescent="0.25">
      <c r="A6" s="13" t="s">
        <v>7</v>
      </c>
      <c r="B6" s="14" t="str">
        <f t="shared" si="0"/>
        <v xml:space="preserve">"ExSpiel.sav", </v>
      </c>
      <c r="C6" s="15" t="s">
        <v>189</v>
      </c>
      <c r="D6" s="13" t="s">
        <v>184</v>
      </c>
      <c r="E6" t="str">
        <f t="shared" si="1"/>
        <v>B5&amp;</v>
      </c>
    </row>
    <row r="7" spans="1:6" x14ac:dyDescent="0.25">
      <c r="A7" s="13" t="s">
        <v>8</v>
      </c>
      <c r="B7" s="14" t="str">
        <f t="shared" si="0"/>
        <v xml:space="preserve">"Fangesa.sav", </v>
      </c>
      <c r="C7" s="15" t="s">
        <v>190</v>
      </c>
      <c r="D7" s="13" t="s">
        <v>184</v>
      </c>
      <c r="E7" t="str">
        <f t="shared" si="1"/>
        <v>B6&amp;</v>
      </c>
    </row>
    <row r="8" spans="1:6" x14ac:dyDescent="0.25">
      <c r="A8" s="13" t="s">
        <v>9</v>
      </c>
      <c r="B8" s="14" t="str">
        <f t="shared" si="0"/>
        <v xml:space="preserve">"Fanwaves.sav", </v>
      </c>
      <c r="C8" s="15" t="s">
        <v>191</v>
      </c>
      <c r="D8" s="13" t="s">
        <v>184</v>
      </c>
      <c r="E8" t="str">
        <f t="shared" si="1"/>
        <v>B7&amp;</v>
      </c>
    </row>
    <row r="9" spans="1:6" x14ac:dyDescent="0.25">
      <c r="A9" s="13" t="s">
        <v>10</v>
      </c>
      <c r="B9" s="14" t="str">
        <f t="shared" si="0"/>
        <v xml:space="preserve">"Internat.sav", </v>
      </c>
      <c r="C9" s="15" t="s">
        <v>192</v>
      </c>
      <c r="D9" s="13" t="s">
        <v>184</v>
      </c>
      <c r="E9" t="str">
        <f t="shared" si="1"/>
        <v>B8&amp;</v>
      </c>
    </row>
    <row r="10" spans="1:6" x14ac:dyDescent="0.25">
      <c r="A10" s="13" t="s">
        <v>11</v>
      </c>
      <c r="B10" s="14" t="str">
        <f t="shared" si="0"/>
        <v xml:space="preserve">"ISchiris.sav", </v>
      </c>
      <c r="C10" s="15" t="s">
        <v>193</v>
      </c>
      <c r="D10" s="13" t="s">
        <v>184</v>
      </c>
      <c r="E10" t="str">
        <f t="shared" si="1"/>
        <v>B9&amp;</v>
      </c>
    </row>
    <row r="11" spans="1:6" x14ac:dyDescent="0.25">
      <c r="A11" s="13" t="s">
        <v>146</v>
      </c>
      <c r="B11" s="14" t="str">
        <f t="shared" si="0"/>
        <v xml:space="preserve">"Jugend1.sav", </v>
      </c>
      <c r="C11" s="15" t="s">
        <v>194</v>
      </c>
      <c r="D11" s="13" t="s">
        <v>184</v>
      </c>
      <c r="E11" t="str">
        <f t="shared" si="1"/>
        <v>B10&amp;</v>
      </c>
    </row>
    <row r="12" spans="1:6" x14ac:dyDescent="0.25">
      <c r="A12" s="13" t="s">
        <v>147</v>
      </c>
      <c r="B12" s="14" t="str">
        <f t="shared" si="0"/>
        <v xml:space="preserve">"Jugend10.sav", </v>
      </c>
      <c r="C12" s="15" t="s">
        <v>195</v>
      </c>
      <c r="D12" s="13" t="s">
        <v>184</v>
      </c>
      <c r="E12" t="str">
        <f t="shared" si="1"/>
        <v>B11&amp;</v>
      </c>
    </row>
    <row r="13" spans="1:6" x14ac:dyDescent="0.25">
      <c r="A13" s="13" t="s">
        <v>148</v>
      </c>
      <c r="B13" s="14" t="str">
        <f t="shared" si="0"/>
        <v xml:space="preserve">"Jugend11.sav", </v>
      </c>
      <c r="C13" s="15" t="s">
        <v>196</v>
      </c>
      <c r="D13" s="13" t="s">
        <v>184</v>
      </c>
      <c r="E13" t="str">
        <f t="shared" si="1"/>
        <v>B12&amp;</v>
      </c>
    </row>
    <row r="14" spans="1:6" x14ac:dyDescent="0.25">
      <c r="A14" s="13" t="s">
        <v>149</v>
      </c>
      <c r="B14" s="14" t="str">
        <f t="shared" si="0"/>
        <v xml:space="preserve">"Jugend12.sav", </v>
      </c>
      <c r="C14" s="15" t="s">
        <v>197</v>
      </c>
      <c r="D14" s="13" t="s">
        <v>184</v>
      </c>
      <c r="E14" t="str">
        <f t="shared" si="1"/>
        <v>B13&amp;</v>
      </c>
    </row>
    <row r="15" spans="1:6" x14ac:dyDescent="0.25">
      <c r="A15" s="13" t="s">
        <v>150</v>
      </c>
      <c r="B15" s="14" t="str">
        <f t="shared" si="0"/>
        <v xml:space="preserve">"Jugend13.sav", </v>
      </c>
      <c r="C15" s="15" t="s">
        <v>198</v>
      </c>
      <c r="D15" s="13" t="s">
        <v>184</v>
      </c>
      <c r="E15" t="str">
        <f t="shared" si="1"/>
        <v>B14&amp;</v>
      </c>
    </row>
    <row r="16" spans="1:6" x14ac:dyDescent="0.25">
      <c r="A16" s="13" t="s">
        <v>151</v>
      </c>
      <c r="B16" s="14" t="str">
        <f t="shared" si="0"/>
        <v xml:space="preserve">"Jugend14.sav", </v>
      </c>
      <c r="C16" s="15" t="s">
        <v>199</v>
      </c>
      <c r="D16" s="13" t="s">
        <v>184</v>
      </c>
      <c r="E16" t="str">
        <f t="shared" si="1"/>
        <v>B15&amp;</v>
      </c>
    </row>
    <row r="17" spans="1:5" x14ac:dyDescent="0.25">
      <c r="A17" s="13" t="s">
        <v>152</v>
      </c>
      <c r="B17" s="14" t="str">
        <f t="shared" si="0"/>
        <v xml:space="preserve">"Jugend15.sav", </v>
      </c>
      <c r="C17" s="15" t="s">
        <v>200</v>
      </c>
      <c r="D17" s="13" t="s">
        <v>184</v>
      </c>
      <c r="E17" t="str">
        <f t="shared" si="1"/>
        <v>B16&amp;</v>
      </c>
    </row>
    <row r="18" spans="1:5" x14ac:dyDescent="0.25">
      <c r="A18" s="13" t="s">
        <v>153</v>
      </c>
      <c r="B18" s="14" t="str">
        <f t="shared" si="0"/>
        <v xml:space="preserve">"Jugend16.sav", </v>
      </c>
      <c r="C18" s="15" t="s">
        <v>201</v>
      </c>
      <c r="D18" s="13" t="s">
        <v>184</v>
      </c>
      <c r="E18" t="str">
        <f t="shared" si="1"/>
        <v>B17&amp;</v>
      </c>
    </row>
    <row r="19" spans="1:5" x14ac:dyDescent="0.25">
      <c r="A19" s="13" t="s">
        <v>154</v>
      </c>
      <c r="B19" s="14" t="str">
        <f t="shared" si="0"/>
        <v xml:space="preserve">"Jugend17.sav", </v>
      </c>
      <c r="C19" s="15" t="s">
        <v>202</v>
      </c>
      <c r="D19" s="13" t="s">
        <v>184</v>
      </c>
      <c r="E19" t="str">
        <f t="shared" si="1"/>
        <v>B18&amp;</v>
      </c>
    </row>
    <row r="20" spans="1:5" x14ac:dyDescent="0.25">
      <c r="A20" s="13" t="s">
        <v>155</v>
      </c>
      <c r="B20" s="14" t="str">
        <f t="shared" si="0"/>
        <v xml:space="preserve">"Jugend18.sav", </v>
      </c>
      <c r="C20" s="15" t="s">
        <v>203</v>
      </c>
      <c r="D20" s="13" t="s">
        <v>184</v>
      </c>
      <c r="E20" t="str">
        <f t="shared" si="1"/>
        <v>B19&amp;</v>
      </c>
    </row>
    <row r="21" spans="1:5" x14ac:dyDescent="0.25">
      <c r="A21" s="13" t="s">
        <v>156</v>
      </c>
      <c r="B21" s="14" t="str">
        <f t="shared" si="0"/>
        <v xml:space="preserve">"Jugend2.sav", </v>
      </c>
      <c r="C21" s="15" t="s">
        <v>204</v>
      </c>
      <c r="D21" s="13" t="s">
        <v>184</v>
      </c>
      <c r="E21" t="str">
        <f t="shared" si="1"/>
        <v>B20&amp;</v>
      </c>
    </row>
    <row r="22" spans="1:5" x14ac:dyDescent="0.25">
      <c r="A22" s="13" t="s">
        <v>157</v>
      </c>
      <c r="B22" s="14" t="str">
        <f t="shared" si="0"/>
        <v xml:space="preserve">"Jugend3.sav", </v>
      </c>
      <c r="C22" s="15" t="s">
        <v>205</v>
      </c>
      <c r="D22" s="13" t="s">
        <v>184</v>
      </c>
      <c r="E22" t="str">
        <f t="shared" si="1"/>
        <v>B21&amp;</v>
      </c>
    </row>
    <row r="23" spans="1:5" x14ac:dyDescent="0.25">
      <c r="A23" s="13" t="s">
        <v>158</v>
      </c>
      <c r="B23" s="14" t="str">
        <f t="shared" si="0"/>
        <v xml:space="preserve">"Jugend4.sav", </v>
      </c>
      <c r="C23" s="15" t="s">
        <v>206</v>
      </c>
      <c r="D23" s="13" t="s">
        <v>184</v>
      </c>
      <c r="E23" t="str">
        <f t="shared" si="1"/>
        <v>B22&amp;</v>
      </c>
    </row>
    <row r="24" spans="1:5" x14ac:dyDescent="0.25">
      <c r="A24" s="13" t="s">
        <v>159</v>
      </c>
      <c r="B24" s="14" t="str">
        <f t="shared" si="0"/>
        <v xml:space="preserve">"Jugend5.sav", </v>
      </c>
      <c r="C24" s="15" t="s">
        <v>207</v>
      </c>
      <c r="D24" s="13" t="s">
        <v>184</v>
      </c>
      <c r="E24" t="str">
        <f t="shared" si="1"/>
        <v>B23&amp;</v>
      </c>
    </row>
    <row r="25" spans="1:5" x14ac:dyDescent="0.25">
      <c r="A25" s="13" t="s">
        <v>160</v>
      </c>
      <c r="B25" s="14" t="str">
        <f t="shared" si="0"/>
        <v xml:space="preserve">"Jugend6.sav", </v>
      </c>
      <c r="C25" s="15" t="s">
        <v>208</v>
      </c>
      <c r="D25" s="13" t="s">
        <v>184</v>
      </c>
      <c r="E25" t="str">
        <f t="shared" si="1"/>
        <v>B24&amp;</v>
      </c>
    </row>
    <row r="26" spans="1:5" x14ac:dyDescent="0.25">
      <c r="A26" s="13" t="s">
        <v>161</v>
      </c>
      <c r="B26" s="14" t="str">
        <f t="shared" si="0"/>
        <v xml:space="preserve">"Jugend7.sav", </v>
      </c>
      <c r="C26" s="15" t="s">
        <v>209</v>
      </c>
      <c r="D26" s="13" t="s">
        <v>184</v>
      </c>
      <c r="E26" t="str">
        <f t="shared" si="1"/>
        <v>B25&amp;</v>
      </c>
    </row>
    <row r="27" spans="1:5" x14ac:dyDescent="0.25">
      <c r="A27" s="13" t="s">
        <v>162</v>
      </c>
      <c r="B27" s="14" t="str">
        <f t="shared" si="0"/>
        <v xml:space="preserve">"Jugend8.sav", </v>
      </c>
      <c r="C27" s="15" t="s">
        <v>210</v>
      </c>
      <c r="D27" s="13" t="s">
        <v>184</v>
      </c>
      <c r="E27" t="str">
        <f t="shared" si="1"/>
        <v>B26&amp;</v>
      </c>
    </row>
    <row r="28" spans="1:5" x14ac:dyDescent="0.25">
      <c r="A28" s="13" t="s">
        <v>163</v>
      </c>
      <c r="B28" s="14" t="str">
        <f t="shared" si="0"/>
        <v xml:space="preserve">"Jugend9.sav", </v>
      </c>
      <c r="C28" s="15" t="s">
        <v>211</v>
      </c>
      <c r="D28" s="13" t="s">
        <v>184</v>
      </c>
      <c r="E28" t="str">
        <f t="shared" si="1"/>
        <v>B27&amp;</v>
      </c>
    </row>
    <row r="29" spans="1:5" x14ac:dyDescent="0.25">
      <c r="A29" s="13" t="s">
        <v>12</v>
      </c>
      <c r="B29" s="14" t="str">
        <f t="shared" si="0"/>
        <v xml:space="preserve">"Kleinig.sav", </v>
      </c>
      <c r="C29" s="15" t="s">
        <v>212</v>
      </c>
      <c r="D29" s="13" t="s">
        <v>184</v>
      </c>
      <c r="E29" t="str">
        <f t="shared" si="1"/>
        <v>B28&amp;</v>
      </c>
    </row>
    <row r="30" spans="1:5" x14ac:dyDescent="0.25">
      <c r="A30" s="13" t="s">
        <v>13</v>
      </c>
      <c r="B30" s="14" t="str">
        <f t="shared" si="0"/>
        <v xml:space="preserve">"Laender.sav", </v>
      </c>
      <c r="C30" s="15" t="s">
        <v>213</v>
      </c>
      <c r="D30" s="13" t="s">
        <v>184</v>
      </c>
      <c r="E30" t="str">
        <f t="shared" si="1"/>
        <v>B29&amp;</v>
      </c>
    </row>
    <row r="31" spans="1:5" x14ac:dyDescent="0.25">
      <c r="A31" s="13" t="s">
        <v>164</v>
      </c>
      <c r="B31" s="14" t="str">
        <f t="shared" si="0"/>
        <v xml:space="preserve">"LandDeut.sav", </v>
      </c>
      <c r="C31" s="15" t="s">
        <v>214</v>
      </c>
      <c r="D31" s="13" t="s">
        <v>184</v>
      </c>
      <c r="E31" t="str">
        <f t="shared" si="1"/>
        <v>B30&amp;</v>
      </c>
    </row>
    <row r="32" spans="1:5" x14ac:dyDescent="0.25">
      <c r="A32" s="13" t="s">
        <v>165</v>
      </c>
      <c r="B32" s="14" t="str">
        <f t="shared" si="0"/>
        <v xml:space="preserve">"LandEngl.sav", </v>
      </c>
      <c r="C32" s="15" t="s">
        <v>215</v>
      </c>
      <c r="D32" s="13" t="s">
        <v>184</v>
      </c>
      <c r="E32" t="str">
        <f t="shared" si="1"/>
        <v>B31&amp;</v>
      </c>
    </row>
    <row r="33" spans="1:5" x14ac:dyDescent="0.25">
      <c r="A33" s="13" t="s">
        <v>166</v>
      </c>
      <c r="B33" s="14" t="str">
        <f t="shared" si="0"/>
        <v xml:space="preserve">"LandFran.sav", </v>
      </c>
      <c r="C33" s="15" t="s">
        <v>216</v>
      </c>
      <c r="D33" s="13" t="s">
        <v>184</v>
      </c>
      <c r="E33" t="str">
        <f t="shared" si="1"/>
        <v>B32&amp;</v>
      </c>
    </row>
    <row r="34" spans="1:5" x14ac:dyDescent="0.25">
      <c r="A34" s="13" t="s">
        <v>167</v>
      </c>
      <c r="B34" s="14" t="str">
        <f t="shared" si="0"/>
        <v xml:space="preserve">"LandHoll.sav", </v>
      </c>
      <c r="C34" s="15" t="s">
        <v>217</v>
      </c>
      <c r="D34" s="13" t="s">
        <v>184</v>
      </c>
      <c r="E34" t="str">
        <f t="shared" si="1"/>
        <v>B33&amp;</v>
      </c>
    </row>
    <row r="35" spans="1:5" x14ac:dyDescent="0.25">
      <c r="A35" s="13" t="s">
        <v>168</v>
      </c>
      <c r="B35" s="14" t="str">
        <f t="shared" si="0"/>
        <v xml:space="preserve">"LandItal.sav", </v>
      </c>
      <c r="C35" s="15" t="s">
        <v>218</v>
      </c>
      <c r="D35" s="13" t="s">
        <v>184</v>
      </c>
      <c r="E35" t="str">
        <f t="shared" si="1"/>
        <v>B34&amp;</v>
      </c>
    </row>
    <row r="36" spans="1:5" x14ac:dyDescent="0.25">
      <c r="A36" s="13" t="s">
        <v>169</v>
      </c>
      <c r="B36" s="14" t="str">
        <f t="shared" si="0"/>
        <v xml:space="preserve">"LandOest.sav", </v>
      </c>
      <c r="C36" s="15" t="s">
        <v>219</v>
      </c>
      <c r="D36" s="13" t="s">
        <v>184</v>
      </c>
      <c r="E36" t="str">
        <f t="shared" si="1"/>
        <v>B35&amp;</v>
      </c>
    </row>
    <row r="37" spans="1:5" x14ac:dyDescent="0.25">
      <c r="A37" s="13" t="s">
        <v>170</v>
      </c>
      <c r="B37" s="14" t="str">
        <f t="shared" si="0"/>
        <v xml:space="preserve">"LandPort.sav", </v>
      </c>
      <c r="C37" s="15" t="s">
        <v>220</v>
      </c>
      <c r="D37" s="13" t="s">
        <v>184</v>
      </c>
      <c r="E37" t="str">
        <f t="shared" si="1"/>
        <v>B36&amp;</v>
      </c>
    </row>
    <row r="38" spans="1:5" x14ac:dyDescent="0.25">
      <c r="A38" s="13" t="s">
        <v>171</v>
      </c>
      <c r="B38" s="14" t="str">
        <f t="shared" si="0"/>
        <v xml:space="preserve">"LandScho.sav", </v>
      </c>
      <c r="C38" s="15" t="s">
        <v>221</v>
      </c>
      <c r="D38" s="13" t="s">
        <v>184</v>
      </c>
      <c r="E38" t="str">
        <f t="shared" si="1"/>
        <v>B37&amp;</v>
      </c>
    </row>
    <row r="39" spans="1:5" x14ac:dyDescent="0.25">
      <c r="A39" s="13" t="s">
        <v>172</v>
      </c>
      <c r="B39" s="14" t="str">
        <f t="shared" si="0"/>
        <v xml:space="preserve">"LandSchw.sav", </v>
      </c>
      <c r="C39" s="15" t="s">
        <v>222</v>
      </c>
      <c r="D39" s="13" t="s">
        <v>184</v>
      </c>
      <c r="E39" t="str">
        <f t="shared" si="1"/>
        <v>B38&amp;</v>
      </c>
    </row>
    <row r="40" spans="1:5" x14ac:dyDescent="0.25">
      <c r="A40" s="13" t="s">
        <v>173</v>
      </c>
      <c r="B40" s="14" t="str">
        <f t="shared" si="0"/>
        <v xml:space="preserve">"LandSpan.sav", </v>
      </c>
      <c r="C40" s="15" t="s">
        <v>223</v>
      </c>
      <c r="D40" s="13" t="s">
        <v>184</v>
      </c>
      <c r="E40" t="str">
        <f t="shared" si="1"/>
        <v>B39&amp;</v>
      </c>
    </row>
    <row r="41" spans="1:5" x14ac:dyDescent="0.25">
      <c r="A41" s="13" t="s">
        <v>174</v>
      </c>
      <c r="B41" s="14" t="str">
        <f t="shared" si="0"/>
        <v xml:space="preserve">"LandTuer.sav", </v>
      </c>
      <c r="C41" s="15" t="s">
        <v>224</v>
      </c>
      <c r="D41" s="13" t="s">
        <v>184</v>
      </c>
      <c r="E41" t="str">
        <f t="shared" si="1"/>
        <v>B40&amp;</v>
      </c>
    </row>
    <row r="42" spans="1:5" x14ac:dyDescent="0.25">
      <c r="A42" s="13" t="s">
        <v>14</v>
      </c>
      <c r="B42" s="14" t="str">
        <f t="shared" si="0"/>
        <v xml:space="preserve">"liga1bon.sav", </v>
      </c>
      <c r="C42" s="15" t="s">
        <v>225</v>
      </c>
      <c r="D42" s="13" t="s">
        <v>184</v>
      </c>
      <c r="E42" t="str">
        <f t="shared" si="1"/>
        <v>B41&amp;</v>
      </c>
    </row>
    <row r="43" spans="1:5" x14ac:dyDescent="0.25">
      <c r="A43" s="13" t="s">
        <v>175</v>
      </c>
      <c r="B43" s="14" t="str">
        <f t="shared" si="0"/>
        <v xml:space="preserve">"Liga1Deu.sav", </v>
      </c>
      <c r="C43" s="15" t="s">
        <v>226</v>
      </c>
      <c r="D43" s="13" t="s">
        <v>184</v>
      </c>
      <c r="E43" t="str">
        <f t="shared" si="1"/>
        <v>B42&amp;</v>
      </c>
    </row>
    <row r="44" spans="1:5" x14ac:dyDescent="0.25">
      <c r="A44" s="13" t="s">
        <v>15</v>
      </c>
      <c r="B44" s="14" t="str">
        <f t="shared" si="0"/>
        <v xml:space="preserve">"Liga1Eng.sav", </v>
      </c>
      <c r="C44" s="15" t="s">
        <v>227</v>
      </c>
      <c r="D44" s="13" t="s">
        <v>184</v>
      </c>
      <c r="E44" t="str">
        <f t="shared" si="1"/>
        <v>B43&amp;</v>
      </c>
    </row>
    <row r="45" spans="1:5" x14ac:dyDescent="0.25">
      <c r="A45" s="13" t="s">
        <v>176</v>
      </c>
      <c r="B45" s="14" t="str">
        <f t="shared" si="0"/>
        <v xml:space="preserve">"Liga1Fra.sav", </v>
      </c>
      <c r="C45" s="15" t="s">
        <v>228</v>
      </c>
      <c r="D45" s="13" t="s">
        <v>184</v>
      </c>
      <c r="E45" t="str">
        <f t="shared" si="1"/>
        <v>B44&amp;</v>
      </c>
    </row>
    <row r="46" spans="1:5" x14ac:dyDescent="0.25">
      <c r="A46" s="13" t="s">
        <v>16</v>
      </c>
      <c r="B46" s="14" t="str">
        <f t="shared" si="0"/>
        <v xml:space="preserve">"liga1hol.sav", </v>
      </c>
      <c r="C46" s="15" t="s">
        <v>229</v>
      </c>
      <c r="D46" s="13" t="s">
        <v>184</v>
      </c>
      <c r="E46" t="str">
        <f t="shared" si="1"/>
        <v>B45&amp;</v>
      </c>
    </row>
    <row r="47" spans="1:5" x14ac:dyDescent="0.25">
      <c r="A47" s="13" t="s">
        <v>177</v>
      </c>
      <c r="B47" s="14" t="str">
        <f t="shared" si="0"/>
        <v xml:space="preserve">"Liga1Ita.sav", </v>
      </c>
      <c r="C47" s="15" t="s">
        <v>230</v>
      </c>
      <c r="D47" s="13" t="s">
        <v>184</v>
      </c>
      <c r="E47" t="str">
        <f t="shared" si="1"/>
        <v>B46&amp;</v>
      </c>
    </row>
    <row r="48" spans="1:5" x14ac:dyDescent="0.25">
      <c r="A48" s="13" t="s">
        <v>17</v>
      </c>
      <c r="B48" s="14" t="str">
        <f t="shared" si="0"/>
        <v xml:space="preserve">"liga1oes.sav", </v>
      </c>
      <c r="C48" s="15" t="s">
        <v>231</v>
      </c>
      <c r="D48" s="13" t="s">
        <v>184</v>
      </c>
      <c r="E48" t="str">
        <f t="shared" si="1"/>
        <v>B47&amp;</v>
      </c>
    </row>
    <row r="49" spans="1:5" x14ac:dyDescent="0.25">
      <c r="A49" s="13" t="s">
        <v>178</v>
      </c>
      <c r="B49" s="14" t="str">
        <f t="shared" si="0"/>
        <v xml:space="preserve">"liga1por.sav", </v>
      </c>
      <c r="C49" s="15" t="s">
        <v>232</v>
      </c>
      <c r="D49" s="13" t="s">
        <v>184</v>
      </c>
      <c r="E49" t="str">
        <f t="shared" si="1"/>
        <v>B48&amp;</v>
      </c>
    </row>
    <row r="50" spans="1:5" x14ac:dyDescent="0.25">
      <c r="A50" s="13" t="s">
        <v>18</v>
      </c>
      <c r="B50" s="14" t="str">
        <f t="shared" si="0"/>
        <v xml:space="preserve">"liga1sch.sav", </v>
      </c>
      <c r="C50" s="15" t="s">
        <v>233</v>
      </c>
      <c r="D50" s="13" t="s">
        <v>184</v>
      </c>
      <c r="E50" t="str">
        <f t="shared" si="1"/>
        <v>B49&amp;</v>
      </c>
    </row>
    <row r="51" spans="1:5" x14ac:dyDescent="0.25">
      <c r="A51" s="13" t="s">
        <v>19</v>
      </c>
      <c r="B51" s="14" t="str">
        <f t="shared" si="0"/>
        <v xml:space="preserve">"Liga1Spa.sav", </v>
      </c>
      <c r="C51" s="15" t="s">
        <v>234</v>
      </c>
      <c r="D51" s="13" t="s">
        <v>184</v>
      </c>
      <c r="E51" t="str">
        <f t="shared" si="1"/>
        <v>B50&amp;</v>
      </c>
    </row>
    <row r="52" spans="1:5" x14ac:dyDescent="0.25">
      <c r="A52" s="13" t="s">
        <v>20</v>
      </c>
      <c r="B52" s="14" t="str">
        <f t="shared" si="0"/>
        <v xml:space="preserve">"liga1swz.sav", </v>
      </c>
      <c r="C52" s="15" t="s">
        <v>235</v>
      </c>
      <c r="D52" s="13" t="s">
        <v>184</v>
      </c>
      <c r="E52" t="str">
        <f t="shared" si="1"/>
        <v>B51&amp;</v>
      </c>
    </row>
    <row r="53" spans="1:5" x14ac:dyDescent="0.25">
      <c r="A53" s="13" t="s">
        <v>21</v>
      </c>
      <c r="B53" s="14" t="str">
        <f t="shared" si="0"/>
        <v xml:space="preserve">"liga1tue.sav", </v>
      </c>
      <c r="C53" s="15" t="s">
        <v>236</v>
      </c>
      <c r="D53" s="13" t="s">
        <v>184</v>
      </c>
      <c r="E53" t="str">
        <f t="shared" si="1"/>
        <v>B52&amp;</v>
      </c>
    </row>
    <row r="54" spans="1:5" x14ac:dyDescent="0.25">
      <c r="A54" s="13" t="s">
        <v>179</v>
      </c>
      <c r="B54" s="14" t="str">
        <f t="shared" si="0"/>
        <v xml:space="preserve">"Liga2Deu.sav", </v>
      </c>
      <c r="C54" s="15" t="s">
        <v>237</v>
      </c>
      <c r="D54" s="13" t="s">
        <v>184</v>
      </c>
      <c r="E54" t="str">
        <f t="shared" si="1"/>
        <v>B53&amp;</v>
      </c>
    </row>
    <row r="55" spans="1:5" x14ac:dyDescent="0.25">
      <c r="A55" s="13" t="s">
        <v>22</v>
      </c>
      <c r="B55" s="14" t="str">
        <f t="shared" si="0"/>
        <v xml:space="preserve">"Liga2Eng.sav", </v>
      </c>
      <c r="C55" s="15" t="s">
        <v>238</v>
      </c>
      <c r="D55" s="13" t="s">
        <v>184</v>
      </c>
      <c r="E55" t="str">
        <f t="shared" si="1"/>
        <v>B54&amp;</v>
      </c>
    </row>
    <row r="56" spans="1:5" x14ac:dyDescent="0.25">
      <c r="A56" s="13" t="s">
        <v>23</v>
      </c>
      <c r="B56" s="14" t="str">
        <f t="shared" si="0"/>
        <v xml:space="preserve">"Liga2Fra.sav", </v>
      </c>
      <c r="C56" s="15" t="s">
        <v>239</v>
      </c>
      <c r="D56" s="13" t="s">
        <v>184</v>
      </c>
      <c r="E56" t="str">
        <f t="shared" si="1"/>
        <v>B55&amp;</v>
      </c>
    </row>
    <row r="57" spans="1:5" x14ac:dyDescent="0.25">
      <c r="A57" s="13" t="s">
        <v>24</v>
      </c>
      <c r="B57" s="14" t="str">
        <f t="shared" si="0"/>
        <v xml:space="preserve">"liga2ita.sav", </v>
      </c>
      <c r="C57" s="15" t="s">
        <v>240</v>
      </c>
      <c r="D57" s="13" t="s">
        <v>184</v>
      </c>
      <c r="E57" t="str">
        <f t="shared" si="1"/>
        <v>B56&amp;</v>
      </c>
    </row>
    <row r="58" spans="1:5" x14ac:dyDescent="0.25">
      <c r="A58" s="13" t="s">
        <v>25</v>
      </c>
      <c r="B58" s="14" t="str">
        <f t="shared" si="0"/>
        <v xml:space="preserve">"liga2spa.sav", </v>
      </c>
      <c r="C58" s="15" t="s">
        <v>241</v>
      </c>
      <c r="D58" s="13" t="s">
        <v>184</v>
      </c>
      <c r="E58" t="str">
        <f t="shared" si="1"/>
        <v>B57&amp;</v>
      </c>
    </row>
    <row r="59" spans="1:5" x14ac:dyDescent="0.25">
      <c r="A59" s="13" t="s">
        <v>26</v>
      </c>
      <c r="B59" s="14" t="str">
        <f t="shared" si="0"/>
        <v xml:space="preserve">"Liga3Eng.sav", </v>
      </c>
      <c r="C59" s="15" t="s">
        <v>242</v>
      </c>
      <c r="D59" s="13" t="s">
        <v>184</v>
      </c>
      <c r="E59" t="str">
        <f t="shared" si="1"/>
        <v>B58&amp;</v>
      </c>
    </row>
    <row r="60" spans="1:5" x14ac:dyDescent="0.25">
      <c r="A60" s="13" t="s">
        <v>27</v>
      </c>
      <c r="B60" s="14" t="str">
        <f t="shared" si="0"/>
        <v xml:space="preserve">"Liga3Ita.sav", </v>
      </c>
      <c r="C60" s="15" t="s">
        <v>243</v>
      </c>
      <c r="D60" s="13" t="s">
        <v>184</v>
      </c>
      <c r="E60" t="str">
        <f t="shared" si="1"/>
        <v>B59&amp;</v>
      </c>
    </row>
    <row r="61" spans="1:5" x14ac:dyDescent="0.25">
      <c r="A61" s="13" t="s">
        <v>28</v>
      </c>
      <c r="B61" s="14" t="str">
        <f t="shared" si="0"/>
        <v xml:space="preserve">"liga4eng.sav", </v>
      </c>
      <c r="C61" s="15" t="s">
        <v>244</v>
      </c>
      <c r="D61" s="13" t="s">
        <v>184</v>
      </c>
      <c r="E61" t="str">
        <f t="shared" si="1"/>
        <v>B60&amp;</v>
      </c>
    </row>
    <row r="62" spans="1:5" x14ac:dyDescent="0.25">
      <c r="A62" s="13" t="s">
        <v>180</v>
      </c>
      <c r="B62" s="14" t="str">
        <f t="shared" si="0"/>
        <v xml:space="preserve">"LigaRLNo.sav", </v>
      </c>
      <c r="C62" s="15" t="s">
        <v>245</v>
      </c>
      <c r="D62" s="13" t="s">
        <v>184</v>
      </c>
      <c r="E62" t="str">
        <f t="shared" si="1"/>
        <v>B61&amp;</v>
      </c>
    </row>
    <row r="63" spans="1:5" x14ac:dyDescent="0.25">
      <c r="A63" s="13" t="s">
        <v>181</v>
      </c>
      <c r="B63" s="14" t="str">
        <f t="shared" si="0"/>
        <v xml:space="preserve">"LigaRLOs.sav", </v>
      </c>
      <c r="C63" s="15" t="s">
        <v>246</v>
      </c>
      <c r="D63" s="13" t="s">
        <v>184</v>
      </c>
      <c r="E63" t="str">
        <f t="shared" si="1"/>
        <v>B62&amp;</v>
      </c>
    </row>
    <row r="64" spans="1:5" x14ac:dyDescent="0.25">
      <c r="A64" s="13" t="s">
        <v>182</v>
      </c>
      <c r="B64" s="14" t="str">
        <f t="shared" si="0"/>
        <v xml:space="preserve">"LigaRLSu.sav", </v>
      </c>
      <c r="C64" s="15" t="s">
        <v>247</v>
      </c>
      <c r="D64" s="13" t="s">
        <v>184</v>
      </c>
      <c r="E64" t="str">
        <f t="shared" si="1"/>
        <v>B63&amp;</v>
      </c>
    </row>
    <row r="65" spans="1:5" x14ac:dyDescent="0.25">
      <c r="A65" s="13" t="s">
        <v>183</v>
      </c>
      <c r="B65" s="14" t="str">
        <f t="shared" si="0"/>
        <v xml:space="preserve">"LigaRLSW.sav", </v>
      </c>
      <c r="C65" s="15" t="s">
        <v>248</v>
      </c>
      <c r="D65" s="13" t="s">
        <v>184</v>
      </c>
      <c r="E65" t="str">
        <f t="shared" si="1"/>
        <v>B64&amp;</v>
      </c>
    </row>
    <row r="66" spans="1:5" x14ac:dyDescent="0.25">
      <c r="A66" s="13" t="s">
        <v>29</v>
      </c>
      <c r="B66" s="14" t="str">
        <f t="shared" si="0"/>
        <v xml:space="preserve">"Quiz.sav", </v>
      </c>
      <c r="C66" s="15" t="s">
        <v>249</v>
      </c>
      <c r="D66" s="13" t="s">
        <v>184</v>
      </c>
      <c r="E66" t="str">
        <f t="shared" si="1"/>
        <v>B65&amp;</v>
      </c>
    </row>
    <row r="67" spans="1:5" x14ac:dyDescent="0.25">
      <c r="A67" s="13" t="s">
        <v>30</v>
      </c>
      <c r="B67" s="14" t="str">
        <f>CHAR(34)&amp;A67&amp;CHAR(34)&amp;", "</f>
        <v xml:space="preserve">"SonSpiel.sav", </v>
      </c>
      <c r="C67" s="15" t="s">
        <v>250</v>
      </c>
      <c r="D67" s="13" t="s">
        <v>184</v>
      </c>
      <c r="E67" t="str">
        <f>C67&amp;D67</f>
        <v>B66&amp;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zoomScale="80" zoomScaleNormal="80" workbookViewId="0">
      <pane xSplit="1" ySplit="1" topLeftCell="B2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defaultColWidth="9.140625" defaultRowHeight="15" x14ac:dyDescent="0.25"/>
  <cols>
    <col min="1" max="1" width="18.7109375" style="82" customWidth="1"/>
    <col min="2" max="2" width="13.28515625" style="19" customWidth="1"/>
    <col min="3" max="3" width="21.42578125" style="19" customWidth="1"/>
    <col min="4" max="4" width="18.42578125" style="19" customWidth="1"/>
    <col min="5" max="5" width="51.5703125" style="4" bestFit="1" customWidth="1"/>
    <col min="6" max="6" width="23.140625" style="19" customWidth="1"/>
    <col min="7" max="7" width="8.85546875" customWidth="1"/>
    <col min="8" max="16384" width="9.140625" style="2"/>
  </cols>
  <sheetData>
    <row r="1" spans="1:7" x14ac:dyDescent="0.25">
      <c r="A1" s="7" t="s">
        <v>0</v>
      </c>
      <c r="B1" s="7" t="s">
        <v>31</v>
      </c>
      <c r="C1" s="7" t="s">
        <v>83</v>
      </c>
      <c r="D1" s="7" t="s">
        <v>1</v>
      </c>
      <c r="E1" s="7" t="s">
        <v>2</v>
      </c>
      <c r="F1" s="7" t="s">
        <v>741</v>
      </c>
      <c r="G1" s="2"/>
    </row>
    <row r="2" spans="1:7" ht="270" x14ac:dyDescent="0.25">
      <c r="A2" s="82" t="s">
        <v>33</v>
      </c>
      <c r="B2" s="19" t="s">
        <v>32</v>
      </c>
      <c r="C2" s="12" t="s">
        <v>271</v>
      </c>
      <c r="D2" s="12" t="s">
        <v>34</v>
      </c>
      <c r="E2" s="4" t="s">
        <v>696</v>
      </c>
      <c r="F2" s="12" t="s">
        <v>734</v>
      </c>
      <c r="G2" s="2"/>
    </row>
    <row r="3" spans="1:7" ht="45" x14ac:dyDescent="0.25">
      <c r="A3" s="82" t="s">
        <v>5</v>
      </c>
      <c r="B3" s="19" t="s">
        <v>32</v>
      </c>
      <c r="C3" s="12" t="s">
        <v>283</v>
      </c>
      <c r="D3" s="12" t="s">
        <v>284</v>
      </c>
      <c r="E3" s="4" t="s">
        <v>285</v>
      </c>
      <c r="F3" s="12" t="s">
        <v>735</v>
      </c>
      <c r="G3" s="2"/>
    </row>
    <row r="4" spans="1:7" ht="90" x14ac:dyDescent="0.25">
      <c r="A4" s="82" t="s">
        <v>6</v>
      </c>
      <c r="B4" s="19" t="s">
        <v>32</v>
      </c>
      <c r="C4" s="12" t="s">
        <v>286</v>
      </c>
      <c r="D4" s="12" t="s">
        <v>287</v>
      </c>
      <c r="E4" s="4" t="s">
        <v>288</v>
      </c>
      <c r="F4" s="12" t="s">
        <v>735</v>
      </c>
      <c r="G4" s="2"/>
    </row>
    <row r="5" spans="1:7" ht="45" x14ac:dyDescent="0.25">
      <c r="A5" s="82" t="s">
        <v>7</v>
      </c>
      <c r="B5" s="19" t="s">
        <v>32</v>
      </c>
      <c r="C5" s="12" t="s">
        <v>278</v>
      </c>
      <c r="D5" s="12" t="s">
        <v>289</v>
      </c>
      <c r="E5" s="4" t="s">
        <v>290</v>
      </c>
      <c r="F5" s="12" t="s">
        <v>735</v>
      </c>
      <c r="G5" s="2"/>
    </row>
    <row r="6" spans="1:7" ht="30" x14ac:dyDescent="0.25">
      <c r="A6" s="82" t="s">
        <v>11</v>
      </c>
      <c r="B6" s="19" t="s">
        <v>32</v>
      </c>
      <c r="C6" s="12" t="s">
        <v>277</v>
      </c>
      <c r="D6" s="12" t="s">
        <v>700</v>
      </c>
      <c r="E6" s="4" t="s">
        <v>695</v>
      </c>
      <c r="F6" s="12" t="s">
        <v>734</v>
      </c>
      <c r="G6" s="2"/>
    </row>
    <row r="7" spans="1:7" ht="30" x14ac:dyDescent="0.25">
      <c r="A7" s="82" t="s">
        <v>3</v>
      </c>
      <c r="B7" s="19" t="s">
        <v>32</v>
      </c>
      <c r="C7" s="12" t="s">
        <v>280</v>
      </c>
      <c r="D7" s="12" t="s">
        <v>281</v>
      </c>
      <c r="E7" s="4" t="s">
        <v>282</v>
      </c>
      <c r="F7" s="12" t="s">
        <v>739</v>
      </c>
      <c r="G7" s="2"/>
    </row>
    <row r="8" spans="1:7" ht="150" x14ac:dyDescent="0.25">
      <c r="A8" s="82" t="s">
        <v>10</v>
      </c>
      <c r="B8" s="19" t="s">
        <v>32</v>
      </c>
      <c r="C8" s="12" t="s">
        <v>10</v>
      </c>
      <c r="D8" s="12" t="s">
        <v>274</v>
      </c>
      <c r="E8" s="4" t="s">
        <v>273</v>
      </c>
      <c r="F8" s="12"/>
      <c r="G8" s="2"/>
    </row>
    <row r="9" spans="1:7" ht="409.5" x14ac:dyDescent="0.25">
      <c r="A9" s="82" t="s">
        <v>35</v>
      </c>
      <c r="B9" s="19" t="s">
        <v>32</v>
      </c>
      <c r="C9" s="12" t="s">
        <v>270</v>
      </c>
      <c r="D9" s="12" t="s">
        <v>702</v>
      </c>
      <c r="E9" s="4" t="s">
        <v>698</v>
      </c>
      <c r="F9" s="12" t="s">
        <v>743</v>
      </c>
      <c r="G9" s="2"/>
    </row>
    <row r="10" spans="1:7" x14ac:dyDescent="0.25">
      <c r="A10" s="82" t="s">
        <v>13</v>
      </c>
      <c r="B10" s="19" t="s">
        <v>32</v>
      </c>
      <c r="C10" s="12" t="s">
        <v>13</v>
      </c>
      <c r="D10" s="12" t="s">
        <v>701</v>
      </c>
      <c r="E10" s="4" t="s">
        <v>697</v>
      </c>
      <c r="F10" s="12" t="s">
        <v>733</v>
      </c>
      <c r="G10" s="2"/>
    </row>
    <row r="11" spans="1:7" ht="45" x14ac:dyDescent="0.25">
      <c r="A11" s="82" t="s">
        <v>30</v>
      </c>
      <c r="B11" s="19" t="s">
        <v>32</v>
      </c>
      <c r="C11" s="12" t="s">
        <v>275</v>
      </c>
      <c r="D11" s="12" t="s">
        <v>703</v>
      </c>
      <c r="E11" s="4" t="s">
        <v>276</v>
      </c>
      <c r="F11" s="12" t="s">
        <v>735</v>
      </c>
      <c r="G11" s="2"/>
    </row>
    <row r="12" spans="1:7" ht="360" x14ac:dyDescent="0.25">
      <c r="A12" s="82" t="s">
        <v>699</v>
      </c>
      <c r="B12" s="19" t="s">
        <v>32</v>
      </c>
      <c r="C12" s="12" t="s">
        <v>433</v>
      </c>
      <c r="D12" s="12" t="s">
        <v>434</v>
      </c>
      <c r="E12" s="4" t="s">
        <v>704</v>
      </c>
      <c r="F12" s="12" t="s">
        <v>744</v>
      </c>
      <c r="G12" s="2"/>
    </row>
    <row r="13" spans="1:7" x14ac:dyDescent="0.25">
      <c r="A13" s="82" t="s">
        <v>4</v>
      </c>
      <c r="B13" s="19" t="s">
        <v>32</v>
      </c>
      <c r="C13" s="12"/>
      <c r="D13" s="12"/>
      <c r="F13" s="12"/>
      <c r="G13" s="2"/>
    </row>
    <row r="14" spans="1:7" x14ac:dyDescent="0.25">
      <c r="A14" s="82" t="s">
        <v>8</v>
      </c>
      <c r="B14" s="19" t="s">
        <v>32</v>
      </c>
      <c r="C14" s="12"/>
      <c r="D14" s="12"/>
      <c r="F14" s="12"/>
      <c r="G14" s="2"/>
    </row>
    <row r="15" spans="1:7" x14ac:dyDescent="0.25">
      <c r="A15" s="82" t="s">
        <v>9</v>
      </c>
      <c r="B15" s="19" t="s">
        <v>32</v>
      </c>
      <c r="C15" s="12"/>
      <c r="D15" s="12"/>
      <c r="F15" s="12"/>
      <c r="G15" s="2"/>
    </row>
    <row r="16" spans="1:7" x14ac:dyDescent="0.25">
      <c r="A16" s="82" t="s">
        <v>12</v>
      </c>
      <c r="B16" s="19" t="s">
        <v>32</v>
      </c>
      <c r="C16" s="12"/>
      <c r="D16" s="12"/>
      <c r="F16" s="12"/>
      <c r="G16" s="2"/>
    </row>
    <row r="17" spans="1:7" x14ac:dyDescent="0.25">
      <c r="A17" s="82" t="s">
        <v>29</v>
      </c>
      <c r="B17" s="19" t="s">
        <v>32</v>
      </c>
      <c r="C17" s="12"/>
      <c r="D17" s="12"/>
      <c r="F17" s="12"/>
      <c r="G17" s="2"/>
    </row>
  </sheetData>
  <pageMargins left="0.7" right="0.7" top="0.75" bottom="0.75" header="0.3" footer="0.3"/>
  <pageSetup paperSize="9" orientation="portrait" horizontalDpi="4294967293" verticalDpi="4294967293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LISTS!$A$2:$A$20</xm:f>
          </x14:formula1>
          <xm:sqref>C2:C17</xm:sqref>
        </x14:dataValidation>
        <x14:dataValidation type="list" allowBlank="1" showInputMessage="1" showErrorMessage="1" xr:uid="{00000000-0002-0000-0100-000001000000}">
          <x14:formula1>
            <xm:f>'LISTS-2 COL'!$A$2:$A$14</xm:f>
          </x14:formula1>
          <xm:sqref>F2:F17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P13"/>
  <sheetViews>
    <sheetView workbookViewId="0">
      <selection activeCell="H11" sqref="H11"/>
    </sheetView>
  </sheetViews>
  <sheetFormatPr defaultRowHeight="15" x14ac:dyDescent="0.25"/>
  <cols>
    <col min="1" max="1" width="14.28515625" bestFit="1" customWidth="1"/>
    <col min="3" max="3" width="11.42578125" bestFit="1" customWidth="1"/>
    <col min="4" max="4" width="14.28515625" bestFit="1" customWidth="1"/>
    <col min="5" max="5" width="15.7109375" bestFit="1" customWidth="1"/>
  </cols>
  <sheetData>
    <row r="1" spans="1:16" x14ac:dyDescent="0.25">
      <c r="A1" s="1" t="s">
        <v>83</v>
      </c>
      <c r="B1" s="5" t="s">
        <v>113</v>
      </c>
      <c r="C1" s="5" t="s">
        <v>135</v>
      </c>
      <c r="D1" s="5" t="s">
        <v>261</v>
      </c>
      <c r="E1" s="5" t="s">
        <v>313</v>
      </c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5">
      <c r="A2" t="s">
        <v>270</v>
      </c>
      <c r="B2" t="s">
        <v>705</v>
      </c>
      <c r="C2" t="s">
        <v>132</v>
      </c>
      <c r="D2" t="s">
        <v>262</v>
      </c>
      <c r="E2" t="s">
        <v>316</v>
      </c>
    </row>
    <row r="3" spans="1:16" x14ac:dyDescent="0.25">
      <c r="A3" t="s">
        <v>271</v>
      </c>
      <c r="B3" t="s">
        <v>706</v>
      </c>
      <c r="C3" t="s">
        <v>133</v>
      </c>
      <c r="D3" t="s">
        <v>263</v>
      </c>
      <c r="E3" t="s">
        <v>317</v>
      </c>
    </row>
    <row r="4" spans="1:16" x14ac:dyDescent="0.25">
      <c r="A4" t="s">
        <v>10</v>
      </c>
      <c r="B4" t="s">
        <v>707</v>
      </c>
      <c r="C4" t="s">
        <v>134</v>
      </c>
      <c r="D4" t="s">
        <v>265</v>
      </c>
      <c r="E4" t="s">
        <v>318</v>
      </c>
    </row>
    <row r="5" spans="1:16" x14ac:dyDescent="0.25">
      <c r="A5" t="s">
        <v>275</v>
      </c>
      <c r="B5" t="s">
        <v>708</v>
      </c>
      <c r="D5" t="s">
        <v>264</v>
      </c>
      <c r="E5" t="s">
        <v>319</v>
      </c>
    </row>
    <row r="6" spans="1:16" x14ac:dyDescent="0.25">
      <c r="A6" t="s">
        <v>277</v>
      </c>
      <c r="B6" t="s">
        <v>709</v>
      </c>
    </row>
    <row r="7" spans="1:16" x14ac:dyDescent="0.25">
      <c r="A7" t="s">
        <v>278</v>
      </c>
      <c r="B7" t="s">
        <v>710</v>
      </c>
    </row>
    <row r="8" spans="1:16" x14ac:dyDescent="0.25">
      <c r="A8" t="s">
        <v>280</v>
      </c>
      <c r="B8" t="s">
        <v>711</v>
      </c>
    </row>
    <row r="9" spans="1:16" x14ac:dyDescent="0.25">
      <c r="A9" t="s">
        <v>283</v>
      </c>
      <c r="B9" t="s">
        <v>712</v>
      </c>
    </row>
    <row r="10" spans="1:16" x14ac:dyDescent="0.25">
      <c r="A10" t="s">
        <v>286</v>
      </c>
      <c r="B10" t="s">
        <v>713</v>
      </c>
    </row>
    <row r="11" spans="1:16" x14ac:dyDescent="0.25">
      <c r="A11" t="s">
        <v>433</v>
      </c>
      <c r="B11" t="s">
        <v>714</v>
      </c>
    </row>
    <row r="12" spans="1:16" x14ac:dyDescent="0.25">
      <c r="A12" t="s">
        <v>13</v>
      </c>
      <c r="B12" t="s">
        <v>715</v>
      </c>
    </row>
    <row r="13" spans="1:16" x14ac:dyDescent="0.25">
      <c r="B13" t="s">
        <v>716</v>
      </c>
    </row>
  </sheetData>
  <pageMargins left="0.7" right="0.7" top="0.75" bottom="0.75" header="0.3" footer="0.3"/>
  <pageSetup paperSize="9"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M8"/>
  <sheetViews>
    <sheetView workbookViewId="0">
      <selection activeCell="A4" sqref="A4"/>
    </sheetView>
  </sheetViews>
  <sheetFormatPr defaultRowHeight="15" x14ac:dyDescent="0.25"/>
  <cols>
    <col min="1" max="1" width="14.42578125" style="12" customWidth="1"/>
    <col min="2" max="2" width="32.28515625" style="2" customWidth="1"/>
    <col min="5" max="5" width="19.42578125" style="2" customWidth="1"/>
    <col min="6" max="6" width="21.140625" style="2" customWidth="1"/>
    <col min="7" max="7" width="52.28515625" customWidth="1"/>
  </cols>
  <sheetData>
    <row r="1" spans="1:13" s="12" customFormat="1" ht="30" x14ac:dyDescent="0.25">
      <c r="A1" s="7" t="s">
        <v>730</v>
      </c>
      <c r="B1" s="7" t="s">
        <v>731</v>
      </c>
      <c r="C1" s="7"/>
      <c r="D1" s="7"/>
      <c r="E1" s="7" t="s">
        <v>746</v>
      </c>
      <c r="F1" s="7" t="s">
        <v>751</v>
      </c>
      <c r="G1" s="7" t="s">
        <v>752</v>
      </c>
      <c r="H1" s="7"/>
      <c r="I1" s="7"/>
      <c r="J1" s="7"/>
      <c r="K1" s="7"/>
      <c r="L1" s="7"/>
      <c r="M1" s="7"/>
    </row>
    <row r="2" spans="1:13" ht="45" x14ac:dyDescent="0.25">
      <c r="A2" s="12" t="s">
        <v>733</v>
      </c>
      <c r="B2" s="2" t="s">
        <v>732</v>
      </c>
      <c r="E2" s="2" t="s">
        <v>747</v>
      </c>
      <c r="F2" s="2" t="s">
        <v>758</v>
      </c>
    </row>
    <row r="3" spans="1:13" ht="45" x14ac:dyDescent="0.25">
      <c r="A3" s="12" t="s">
        <v>734</v>
      </c>
      <c r="B3" s="2" t="s">
        <v>736</v>
      </c>
      <c r="E3" s="2" t="s">
        <v>748</v>
      </c>
      <c r="F3" s="2" t="s">
        <v>757</v>
      </c>
    </row>
    <row r="4" spans="1:13" ht="75" x14ac:dyDescent="0.25">
      <c r="A4" s="12" t="s">
        <v>735</v>
      </c>
      <c r="B4" s="2" t="s">
        <v>737</v>
      </c>
      <c r="E4" s="2" t="s">
        <v>749</v>
      </c>
      <c r="F4" s="2" t="s">
        <v>755</v>
      </c>
      <c r="G4" s="2" t="s">
        <v>756</v>
      </c>
    </row>
    <row r="5" spans="1:13" ht="60" x14ac:dyDescent="0.25">
      <c r="A5" s="12" t="s">
        <v>739</v>
      </c>
      <c r="B5" s="2" t="s">
        <v>738</v>
      </c>
      <c r="E5" s="2" t="s">
        <v>750</v>
      </c>
      <c r="F5" s="2" t="s">
        <v>753</v>
      </c>
      <c r="G5" s="2" t="s">
        <v>754</v>
      </c>
    </row>
    <row r="6" spans="1:13" ht="105" x14ac:dyDescent="0.25">
      <c r="A6" s="12" t="s">
        <v>743</v>
      </c>
      <c r="B6" s="2" t="s">
        <v>742</v>
      </c>
    </row>
    <row r="7" spans="1:13" ht="60" x14ac:dyDescent="0.25">
      <c r="A7" s="12" t="s">
        <v>744</v>
      </c>
      <c r="B7" s="2" t="s">
        <v>745</v>
      </c>
    </row>
    <row r="8" spans="1:13" x14ac:dyDescent="0.25">
      <c r="A8" s="12" t="s">
        <v>740</v>
      </c>
    </row>
  </sheetData>
  <pageMargins left="0.7" right="0.7" top="0.75" bottom="0.75" header="0.3" footer="0.3"/>
  <pageSetup paperSize="9" orientation="portrait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U55"/>
  <sheetViews>
    <sheetView topLeftCell="A27" workbookViewId="0">
      <selection activeCell="C37" sqref="C37"/>
    </sheetView>
  </sheetViews>
  <sheetFormatPr defaultColWidth="9.140625" defaultRowHeight="15" x14ac:dyDescent="0.25"/>
  <cols>
    <col min="1" max="1" width="9.140625" style="2"/>
    <col min="2" max="3" width="26.140625" style="2" bestFit="1" customWidth="1"/>
    <col min="4" max="4" width="7.85546875" style="2" customWidth="1"/>
    <col min="5" max="5" width="14.42578125" style="2" bestFit="1" customWidth="1"/>
    <col min="6" max="6" width="28.7109375" style="2" bestFit="1" customWidth="1"/>
    <col min="7" max="8" width="9.5703125" style="12" customWidth="1"/>
    <col min="9" max="9" width="8.85546875" style="2" customWidth="1"/>
    <col min="10" max="10" width="10.140625" style="2" customWidth="1"/>
    <col min="11" max="11" width="9.140625" style="2" customWidth="1"/>
    <col min="12" max="12" width="11" style="2" customWidth="1"/>
    <col min="13" max="13" width="7" style="2" customWidth="1"/>
    <col min="14" max="14" width="10" style="2" customWidth="1"/>
    <col min="15" max="15" width="9.85546875" style="2" customWidth="1"/>
    <col min="16" max="16" width="8.42578125" style="2" customWidth="1"/>
    <col min="17" max="17" width="8" style="2" customWidth="1"/>
    <col min="18" max="16384" width="9.140625" style="2"/>
  </cols>
  <sheetData>
    <row r="1" spans="1:21" ht="60" x14ac:dyDescent="0.25">
      <c r="A1" s="2" t="e">
        <f ca="1">MID(CELL("filename"),SEARCH("[",CELL("filename"))+1, SEARCH("]",CELL("filename"))-SEARCH("[",CELL("filename"))-1)</f>
        <v>#VALUE!</v>
      </c>
    </row>
    <row r="2" spans="1:21" ht="45" x14ac:dyDescent="0.25">
      <c r="B2" s="7" t="s">
        <v>36</v>
      </c>
      <c r="C2" s="7" t="s">
        <v>85</v>
      </c>
      <c r="D2" s="7" t="s">
        <v>112</v>
      </c>
      <c r="E2" s="7" t="s">
        <v>267</v>
      </c>
      <c r="F2" s="7" t="s">
        <v>1</v>
      </c>
      <c r="G2" s="7" t="s">
        <v>313</v>
      </c>
      <c r="H2" s="7" t="s">
        <v>495</v>
      </c>
      <c r="I2" s="7" t="str">
        <f>LISTS!$A2</f>
        <v>LandXxx.sav</v>
      </c>
      <c r="J2" s="7" t="str">
        <f>LISTS!$A3</f>
        <v>JugendXx.sav</v>
      </c>
      <c r="K2" s="7" t="str">
        <f>LISTS!$A4</f>
        <v>Internat.sav</v>
      </c>
      <c r="L2" s="7" t="str">
        <f>LISTS!$A5</f>
        <v>SonSpieler.sav</v>
      </c>
      <c r="M2" s="7" t="str">
        <f>LISTS!$A6</f>
        <v>Ischiri.sav</v>
      </c>
      <c r="N2" s="7" t="str">
        <f>LISTS!$A7</f>
        <v>ExSpieler.sav</v>
      </c>
      <c r="O2" s="7" t="str">
        <f>LISTS!$A8</f>
        <v>Avereine.sav</v>
      </c>
      <c r="P2" s="7" t="str">
        <f>LISTS!$A9</f>
        <v>Cleague.sav</v>
      </c>
      <c r="Q2" s="7" t="str">
        <f>LISTS!$A10</f>
        <v>EmWm.sav</v>
      </c>
      <c r="R2" s="7" t="str">
        <f>LISTS!$A11</f>
        <v>LigaYXxx.sav</v>
      </c>
      <c r="S2" s="7" t="str">
        <f>LISTS!$A12</f>
        <v>Laender.sav</v>
      </c>
      <c r="T2" s="7">
        <f>LISTS!$A13</f>
        <v>0</v>
      </c>
      <c r="U2" s="7">
        <f>LISTS!$A14</f>
        <v>0</v>
      </c>
    </row>
    <row r="3" spans="1:21" s="35" customFormat="1" ht="30" x14ac:dyDescent="0.25">
      <c r="B3" s="36" t="s">
        <v>86</v>
      </c>
      <c r="C3" s="37" t="s">
        <v>87</v>
      </c>
      <c r="D3" s="37" t="s">
        <v>111</v>
      </c>
      <c r="E3" s="37" t="s">
        <v>266</v>
      </c>
      <c r="F3" s="38" t="s">
        <v>88</v>
      </c>
      <c r="G3" s="8" t="s">
        <v>312</v>
      </c>
      <c r="H3" s="8" t="s">
        <v>494</v>
      </c>
      <c r="I3" s="38" t="s">
        <v>89</v>
      </c>
      <c r="J3" s="38" t="s">
        <v>90</v>
      </c>
      <c r="K3" s="38" t="s">
        <v>91</v>
      </c>
      <c r="L3" s="38" t="s">
        <v>92</v>
      </c>
      <c r="M3" s="38" t="s">
        <v>93</v>
      </c>
      <c r="N3" s="38" t="s">
        <v>94</v>
      </c>
      <c r="O3" s="38" t="s">
        <v>95</v>
      </c>
      <c r="P3" s="38" t="s">
        <v>96</v>
      </c>
      <c r="Q3" s="38" t="s">
        <v>97</v>
      </c>
      <c r="R3" s="58" t="s">
        <v>480</v>
      </c>
    </row>
    <row r="4" spans="1:21" x14ac:dyDescent="0.25">
      <c r="B4" s="9" t="s">
        <v>42</v>
      </c>
      <c r="C4" s="10" t="str">
        <f t="shared" ref="C4:C49" si="0">HYPERLINK("#'" &amp; B4 &amp; "'!A1",B4)</f>
        <v>%SECT%AJUGEND</v>
      </c>
      <c r="D4" s="11" t="s">
        <v>708</v>
      </c>
      <c r="E4" s="11" t="s">
        <v>264</v>
      </c>
      <c r="F4" s="2" t="s">
        <v>136</v>
      </c>
      <c r="G4" s="12" t="s">
        <v>319</v>
      </c>
      <c r="H4" s="12" t="s">
        <v>132</v>
      </c>
      <c r="I4" s="12" t="s">
        <v>84</v>
      </c>
      <c r="J4" s="12"/>
      <c r="K4" s="12"/>
      <c r="L4" s="12"/>
      <c r="M4" s="12"/>
      <c r="N4" s="12"/>
      <c r="O4" s="12"/>
      <c r="P4" s="12"/>
      <c r="Q4" s="12"/>
      <c r="R4" s="12"/>
    </row>
    <row r="5" spans="1:21" x14ac:dyDescent="0.25">
      <c r="B5" s="9" t="s">
        <v>43</v>
      </c>
      <c r="C5" s="10" t="str">
        <f t="shared" si="0"/>
        <v>%SECT%AMATEURV</v>
      </c>
      <c r="D5" s="11" t="s">
        <v>708</v>
      </c>
      <c r="E5" s="11" t="s">
        <v>264</v>
      </c>
      <c r="F5" s="2" t="s">
        <v>297</v>
      </c>
      <c r="G5" s="12" t="s">
        <v>318</v>
      </c>
      <c r="H5" s="12" t="s">
        <v>132</v>
      </c>
      <c r="I5" s="12" t="s">
        <v>84</v>
      </c>
      <c r="J5" s="12"/>
      <c r="K5" s="12"/>
      <c r="L5" s="12"/>
      <c r="M5" s="12"/>
      <c r="N5" s="12"/>
      <c r="O5" s="12"/>
      <c r="P5" s="12"/>
      <c r="Q5" s="12"/>
      <c r="R5" s="12"/>
    </row>
    <row r="6" spans="1:21" x14ac:dyDescent="0.25">
      <c r="B6" s="9" t="s">
        <v>59</v>
      </c>
      <c r="C6" s="10" t="str">
        <f t="shared" si="0"/>
        <v>%SECT%ASPIELER</v>
      </c>
      <c r="D6" s="11" t="s">
        <v>710</v>
      </c>
      <c r="E6" s="11" t="s">
        <v>264</v>
      </c>
      <c r="F6" s="2" t="s">
        <v>136</v>
      </c>
      <c r="G6" s="12" t="s">
        <v>319</v>
      </c>
      <c r="H6" s="12" t="s">
        <v>132</v>
      </c>
      <c r="I6" s="12"/>
      <c r="J6" s="12" t="s">
        <v>84</v>
      </c>
      <c r="K6" s="12"/>
      <c r="L6" s="12"/>
      <c r="M6" s="12"/>
      <c r="N6" s="12"/>
      <c r="O6" s="12"/>
      <c r="P6" s="12"/>
      <c r="Q6" s="12"/>
      <c r="R6" s="12"/>
    </row>
    <row r="7" spans="1:21" x14ac:dyDescent="0.25">
      <c r="B7" s="9" t="s">
        <v>60</v>
      </c>
      <c r="C7" s="10" t="str">
        <f t="shared" si="0"/>
        <v>%SECT%AUSRUESTER</v>
      </c>
      <c r="D7" s="11"/>
      <c r="E7" s="11"/>
      <c r="I7" s="12"/>
      <c r="J7" s="12"/>
      <c r="K7" s="12"/>
      <c r="L7" s="12"/>
      <c r="M7" s="12"/>
      <c r="N7" s="12"/>
      <c r="O7" s="12"/>
      <c r="P7" s="12"/>
      <c r="Q7" s="12"/>
      <c r="R7" s="12"/>
    </row>
    <row r="8" spans="1:21" x14ac:dyDescent="0.25">
      <c r="B8" s="9" t="s">
        <v>61</v>
      </c>
      <c r="C8" s="10" t="str">
        <f t="shared" si="0"/>
        <v>%SECT%BONUS</v>
      </c>
      <c r="D8" s="11"/>
      <c r="E8" s="11"/>
      <c r="I8" s="12"/>
      <c r="J8" s="12"/>
      <c r="K8" s="12"/>
      <c r="L8" s="12"/>
      <c r="M8" s="12"/>
      <c r="N8" s="12"/>
      <c r="O8" s="12"/>
      <c r="P8" s="12"/>
      <c r="Q8" s="12"/>
      <c r="R8" s="12"/>
    </row>
    <row r="9" spans="1:21" x14ac:dyDescent="0.25">
      <c r="B9" s="9" t="s">
        <v>62</v>
      </c>
      <c r="C9" s="10" t="str">
        <f t="shared" si="0"/>
        <v>%SECT%CLEAGUE</v>
      </c>
      <c r="D9" s="11" t="s">
        <v>713</v>
      </c>
      <c r="E9" s="11" t="s">
        <v>264</v>
      </c>
      <c r="F9" s="2" t="s">
        <v>136</v>
      </c>
      <c r="G9" s="12" t="s">
        <v>319</v>
      </c>
      <c r="H9" s="12" t="s">
        <v>132</v>
      </c>
      <c r="I9" s="12"/>
      <c r="J9" s="12"/>
      <c r="K9" s="12"/>
      <c r="L9" s="12"/>
      <c r="M9" s="12"/>
      <c r="N9" s="12"/>
      <c r="O9" s="12"/>
      <c r="P9" s="12" t="s">
        <v>84</v>
      </c>
      <c r="Q9" s="12"/>
      <c r="R9" s="12"/>
    </row>
    <row r="10" spans="1:21" x14ac:dyDescent="0.25">
      <c r="B10" s="9" t="s">
        <v>63</v>
      </c>
      <c r="C10" s="10" t="str">
        <f t="shared" si="0"/>
        <v>%SECT%CLEAGUEGRP</v>
      </c>
      <c r="D10" s="11" t="s">
        <v>713</v>
      </c>
      <c r="E10" s="11" t="s">
        <v>264</v>
      </c>
      <c r="F10" s="2" t="s">
        <v>310</v>
      </c>
      <c r="G10" s="12" t="s">
        <v>318</v>
      </c>
      <c r="H10" s="12" t="s">
        <v>132</v>
      </c>
      <c r="I10" s="12"/>
      <c r="J10" s="12"/>
      <c r="K10" s="12"/>
      <c r="L10" s="12"/>
      <c r="M10" s="12"/>
      <c r="N10" s="12"/>
      <c r="O10" s="12"/>
      <c r="P10" s="12" t="s">
        <v>84</v>
      </c>
      <c r="Q10" s="12"/>
      <c r="R10" s="12"/>
    </row>
    <row r="11" spans="1:21" x14ac:dyDescent="0.25">
      <c r="B11" s="9" t="s">
        <v>64</v>
      </c>
      <c r="C11" s="10" t="str">
        <f t="shared" si="0"/>
        <v>%SECT%EFANGES</v>
      </c>
      <c r="D11" s="11" t="s">
        <v>715</v>
      </c>
      <c r="E11" s="11"/>
      <c r="I11" s="12"/>
      <c r="J11" s="12"/>
      <c r="K11" s="12"/>
      <c r="L11" s="12"/>
      <c r="M11" s="12"/>
      <c r="N11" s="12"/>
      <c r="O11" s="12"/>
      <c r="P11" s="12"/>
      <c r="Q11" s="12"/>
      <c r="R11" s="12"/>
    </row>
    <row r="12" spans="1:21" x14ac:dyDescent="0.25">
      <c r="B12" s="9" t="s">
        <v>65</v>
      </c>
      <c r="C12" s="10" t="str">
        <f t="shared" si="0"/>
        <v>%SECT%EMGRP</v>
      </c>
      <c r="D12" s="11" t="s">
        <v>713</v>
      </c>
      <c r="E12" s="11" t="s">
        <v>264</v>
      </c>
      <c r="F12" s="2" t="s">
        <v>136</v>
      </c>
      <c r="G12" s="12" t="s">
        <v>319</v>
      </c>
      <c r="H12" s="12" t="s">
        <v>132</v>
      </c>
      <c r="I12" s="12"/>
      <c r="J12" s="12"/>
      <c r="K12" s="12"/>
      <c r="L12" s="12"/>
      <c r="M12" s="12"/>
      <c r="N12" s="12"/>
      <c r="O12" s="12"/>
      <c r="P12" s="12"/>
      <c r="Q12" s="12" t="s">
        <v>84</v>
      </c>
      <c r="R12" s="12"/>
    </row>
    <row r="13" spans="1:21" x14ac:dyDescent="0.25">
      <c r="B13" s="9" t="s">
        <v>66</v>
      </c>
      <c r="C13" s="10" t="str">
        <f t="shared" si="0"/>
        <v>%SECT%EMWM</v>
      </c>
      <c r="D13" s="11"/>
      <c r="E13" s="11"/>
      <c r="I13" s="12"/>
      <c r="J13" s="12"/>
      <c r="K13" s="12"/>
      <c r="L13" s="12"/>
      <c r="M13" s="12"/>
      <c r="N13" s="12"/>
      <c r="O13" s="12"/>
      <c r="P13" s="12"/>
      <c r="Q13" s="12"/>
      <c r="R13" s="12"/>
    </row>
    <row r="14" spans="1:21" x14ac:dyDescent="0.25">
      <c r="B14" s="9" t="s">
        <v>67</v>
      </c>
      <c r="C14" s="10" t="str">
        <f t="shared" si="0"/>
        <v>%SECT%EUROSIEGER</v>
      </c>
      <c r="D14" s="11" t="s">
        <v>711</v>
      </c>
      <c r="E14" s="11" t="s">
        <v>264</v>
      </c>
      <c r="G14" s="12" t="s">
        <v>316</v>
      </c>
      <c r="H14" s="12" t="s">
        <v>132</v>
      </c>
      <c r="I14" s="12"/>
      <c r="J14" s="12"/>
      <c r="K14" s="12" t="s">
        <v>84</v>
      </c>
      <c r="L14" s="12"/>
      <c r="M14" s="12"/>
      <c r="N14" s="12"/>
      <c r="O14" s="12"/>
      <c r="P14" s="12"/>
      <c r="Q14" s="12"/>
      <c r="R14" s="12"/>
    </row>
    <row r="15" spans="1:21" x14ac:dyDescent="0.25">
      <c r="B15" s="9" t="s">
        <v>68</v>
      </c>
      <c r="C15" s="10" t="str">
        <f t="shared" si="0"/>
        <v>%SECT%EXSPIEL</v>
      </c>
      <c r="D15" s="11" t="s">
        <v>711</v>
      </c>
      <c r="E15" s="11" t="s">
        <v>264</v>
      </c>
      <c r="F15" s="2" t="s">
        <v>136</v>
      </c>
      <c r="G15" s="12" t="s">
        <v>319</v>
      </c>
      <c r="H15" s="12" t="s">
        <v>132</v>
      </c>
      <c r="I15" s="12"/>
      <c r="J15" s="12"/>
      <c r="K15" s="12"/>
      <c r="L15" s="12"/>
      <c r="M15" s="12"/>
      <c r="N15" s="12" t="s">
        <v>84</v>
      </c>
      <c r="O15" s="12"/>
      <c r="P15" s="12"/>
      <c r="Q15" s="12"/>
      <c r="R15" s="12"/>
    </row>
    <row r="16" spans="1:21" x14ac:dyDescent="0.25">
      <c r="B16" s="9" t="s">
        <v>69</v>
      </c>
      <c r="C16" s="10" t="str">
        <f t="shared" si="0"/>
        <v>%SECT%FANGES</v>
      </c>
      <c r="D16" s="11" t="s">
        <v>715</v>
      </c>
      <c r="E16" s="11"/>
      <c r="I16" s="12"/>
      <c r="J16" s="12"/>
      <c r="K16" s="12"/>
      <c r="L16" s="12"/>
      <c r="M16" s="12"/>
      <c r="N16" s="12"/>
      <c r="O16" s="12"/>
      <c r="P16" s="12"/>
      <c r="Q16" s="12"/>
      <c r="R16" s="12"/>
    </row>
    <row r="17" spans="2:18" x14ac:dyDescent="0.25">
      <c r="B17" s="9" t="s">
        <v>70</v>
      </c>
      <c r="C17" s="10" t="str">
        <f t="shared" si="0"/>
        <v>%SECT%HALBZEIT</v>
      </c>
      <c r="D17" s="11"/>
      <c r="E17" s="11"/>
      <c r="I17" s="12"/>
      <c r="J17" s="12"/>
      <c r="K17" s="12"/>
      <c r="L17" s="12"/>
      <c r="M17" s="12"/>
      <c r="N17" s="12"/>
      <c r="O17" s="12"/>
      <c r="P17" s="12"/>
      <c r="Q17" s="12"/>
      <c r="R17" s="12"/>
    </row>
    <row r="18" spans="2:18" x14ac:dyDescent="0.25">
      <c r="B18" s="9" t="s">
        <v>71</v>
      </c>
      <c r="C18" s="10" t="str">
        <f t="shared" si="0"/>
        <v>%SECT%ISCHIRI</v>
      </c>
      <c r="D18" s="11" t="s">
        <v>711</v>
      </c>
      <c r="E18" s="11" t="s">
        <v>264</v>
      </c>
      <c r="F18" s="2" t="s">
        <v>136</v>
      </c>
      <c r="G18" s="12" t="s">
        <v>319</v>
      </c>
      <c r="H18" s="12" t="s">
        <v>132</v>
      </c>
      <c r="I18" s="12"/>
      <c r="J18" s="12"/>
      <c r="K18" s="12"/>
      <c r="L18" s="12"/>
      <c r="M18" s="12" t="s">
        <v>84</v>
      </c>
      <c r="N18" s="12"/>
      <c r="O18" s="12"/>
      <c r="P18" s="12"/>
      <c r="Q18" s="12"/>
      <c r="R18" s="12"/>
    </row>
    <row r="19" spans="2:18" x14ac:dyDescent="0.25">
      <c r="B19" s="9" t="s">
        <v>72</v>
      </c>
      <c r="C19" s="10" t="str">
        <f t="shared" si="0"/>
        <v>%SECT%IVEREIN</v>
      </c>
      <c r="D19" s="17" t="s">
        <v>712</v>
      </c>
      <c r="E19" s="17" t="s">
        <v>264</v>
      </c>
      <c r="F19" s="2" t="s">
        <v>136</v>
      </c>
      <c r="G19" s="12" t="s">
        <v>319</v>
      </c>
      <c r="H19" s="12" t="s">
        <v>132</v>
      </c>
      <c r="I19" s="12"/>
      <c r="J19" s="12"/>
      <c r="K19" s="12"/>
      <c r="L19" s="12"/>
      <c r="M19" s="12"/>
      <c r="N19" s="12"/>
      <c r="O19" s="12" t="s">
        <v>84</v>
      </c>
      <c r="P19" s="12"/>
      <c r="Q19" s="12"/>
      <c r="R19" s="12"/>
    </row>
    <row r="20" spans="2:18" x14ac:dyDescent="0.25">
      <c r="B20" s="9" t="s">
        <v>73</v>
      </c>
      <c r="C20" s="10" t="str">
        <f t="shared" si="0"/>
        <v>%SECT%IVEREINE</v>
      </c>
      <c r="D20" s="11" t="s">
        <v>712</v>
      </c>
      <c r="E20" s="11" t="s">
        <v>264</v>
      </c>
      <c r="F20" s="2" t="s">
        <v>309</v>
      </c>
      <c r="G20" s="12" t="s">
        <v>318</v>
      </c>
      <c r="H20" s="12" t="s">
        <v>132</v>
      </c>
      <c r="I20" s="12"/>
      <c r="J20" s="12"/>
      <c r="K20" s="12"/>
      <c r="L20" s="12"/>
      <c r="M20" s="12"/>
      <c r="N20" s="12"/>
      <c r="O20" s="12" t="s">
        <v>84</v>
      </c>
      <c r="P20" s="12"/>
      <c r="Q20" s="12"/>
      <c r="R20" s="12"/>
    </row>
    <row r="21" spans="2:18" x14ac:dyDescent="0.25">
      <c r="B21" s="9" t="s">
        <v>44</v>
      </c>
      <c r="C21" s="10" t="str">
        <f t="shared" si="0"/>
        <v>%SECT%KRITIKER</v>
      </c>
      <c r="D21" s="11" t="s">
        <v>709</v>
      </c>
      <c r="E21" s="11" t="s">
        <v>264</v>
      </c>
      <c r="F21" s="2" t="s">
        <v>302</v>
      </c>
      <c r="G21" s="12" t="s">
        <v>318</v>
      </c>
      <c r="H21" s="12" t="s">
        <v>132</v>
      </c>
      <c r="I21" s="12" t="s">
        <v>84</v>
      </c>
      <c r="J21" s="12"/>
      <c r="K21" s="12"/>
      <c r="L21" s="12"/>
      <c r="M21" s="12"/>
      <c r="N21" s="12"/>
      <c r="O21" s="12"/>
      <c r="P21" s="12"/>
      <c r="Q21" s="12"/>
      <c r="R21" s="12"/>
    </row>
    <row r="22" spans="2:18" x14ac:dyDescent="0.25">
      <c r="B22" s="9" t="s">
        <v>45</v>
      </c>
      <c r="C22" s="10" t="str">
        <f t="shared" si="0"/>
        <v>%SECT%KRITIP</v>
      </c>
      <c r="D22" s="11" t="s">
        <v>709</v>
      </c>
      <c r="E22" s="11" t="s">
        <v>264</v>
      </c>
      <c r="F22" s="2" t="s">
        <v>136</v>
      </c>
      <c r="G22" s="12" t="s">
        <v>319</v>
      </c>
      <c r="H22" s="12" t="s">
        <v>132</v>
      </c>
      <c r="I22" s="12" t="s">
        <v>84</v>
      </c>
      <c r="J22" s="12"/>
      <c r="K22" s="12"/>
      <c r="L22" s="12"/>
      <c r="M22" s="12"/>
      <c r="N22" s="12"/>
      <c r="O22" s="12"/>
      <c r="P22" s="12"/>
      <c r="Q22" s="12"/>
      <c r="R22" s="12"/>
    </row>
    <row r="23" spans="2:18" x14ac:dyDescent="0.25">
      <c r="B23" s="9" t="s">
        <v>37</v>
      </c>
      <c r="C23" s="10" t="str">
        <f t="shared" si="0"/>
        <v>%SECT%LAND</v>
      </c>
      <c r="D23" s="11" t="s">
        <v>705</v>
      </c>
      <c r="E23" s="11" t="s">
        <v>264</v>
      </c>
      <c r="F23" s="2" t="s">
        <v>292</v>
      </c>
      <c r="G23" s="12" t="s">
        <v>317</v>
      </c>
      <c r="H23" s="12" t="s">
        <v>132</v>
      </c>
      <c r="I23" s="12" t="s">
        <v>84</v>
      </c>
      <c r="J23" s="12"/>
      <c r="K23" s="12" t="s">
        <v>84</v>
      </c>
      <c r="L23" s="12"/>
      <c r="M23" s="12"/>
      <c r="N23" s="12"/>
      <c r="O23" s="12"/>
      <c r="P23" s="12"/>
      <c r="Q23" s="12"/>
      <c r="R23" s="12"/>
    </row>
    <row r="24" spans="2:18" x14ac:dyDescent="0.25">
      <c r="B24" s="9" t="s">
        <v>74</v>
      </c>
      <c r="C24" s="10" t="str">
        <f t="shared" si="0"/>
        <v>%SECT%LIGA</v>
      </c>
      <c r="D24" s="11" t="s">
        <v>714</v>
      </c>
      <c r="E24" s="11" t="s">
        <v>264</v>
      </c>
      <c r="F24" s="2" t="s">
        <v>482</v>
      </c>
      <c r="G24" s="12" t="s">
        <v>318</v>
      </c>
      <c r="H24" s="12" t="s">
        <v>132</v>
      </c>
      <c r="I24" s="12"/>
      <c r="J24" s="12"/>
      <c r="K24" s="12"/>
      <c r="L24" s="12"/>
      <c r="M24" s="12"/>
      <c r="N24" s="12"/>
      <c r="O24" s="12"/>
      <c r="P24" s="12"/>
      <c r="Q24" s="12"/>
      <c r="R24" s="12" t="s">
        <v>84</v>
      </c>
    </row>
    <row r="25" spans="2:18" x14ac:dyDescent="0.25">
      <c r="B25" s="9" t="s">
        <v>40</v>
      </c>
      <c r="C25" s="10" t="str">
        <f t="shared" si="0"/>
        <v>%SECT%MANAGER</v>
      </c>
      <c r="D25" s="11" t="s">
        <v>706</v>
      </c>
      <c r="E25" s="11" t="s">
        <v>264</v>
      </c>
      <c r="F25" s="2" t="s">
        <v>293</v>
      </c>
      <c r="G25" s="12" t="s">
        <v>318</v>
      </c>
      <c r="H25" s="12" t="s">
        <v>132</v>
      </c>
      <c r="I25" s="12" t="s">
        <v>84</v>
      </c>
      <c r="J25" s="12"/>
      <c r="K25" s="12" t="s">
        <v>84</v>
      </c>
      <c r="L25" s="12"/>
      <c r="M25" s="12"/>
      <c r="N25" s="12"/>
      <c r="O25" s="12"/>
      <c r="P25" s="12"/>
      <c r="Q25" s="12"/>
      <c r="R25" s="12"/>
    </row>
    <row r="26" spans="2:18" x14ac:dyDescent="0.25">
      <c r="B26" s="9" t="s">
        <v>46</v>
      </c>
      <c r="C26" s="10" t="str">
        <f t="shared" si="0"/>
        <v>%SECT%MANAGERP</v>
      </c>
      <c r="D26" s="11" t="s">
        <v>706</v>
      </c>
      <c r="E26" s="11" t="s">
        <v>264</v>
      </c>
      <c r="F26" s="2" t="s">
        <v>136</v>
      </c>
      <c r="G26" s="12" t="s">
        <v>319</v>
      </c>
      <c r="H26" s="12" t="s">
        <v>132</v>
      </c>
      <c r="I26" s="12" t="s">
        <v>84</v>
      </c>
      <c r="J26" s="12"/>
      <c r="K26" s="12"/>
      <c r="L26" s="12"/>
      <c r="M26" s="12"/>
      <c r="N26" s="12"/>
      <c r="O26" s="12"/>
      <c r="P26" s="12"/>
      <c r="Q26" s="12"/>
      <c r="R26" s="12"/>
    </row>
    <row r="27" spans="2:18" x14ac:dyDescent="0.25">
      <c r="B27" s="9" t="s">
        <v>47</v>
      </c>
      <c r="C27" s="10" t="str">
        <f t="shared" si="0"/>
        <v>%SECT%MEDIAP</v>
      </c>
      <c r="D27" s="11" t="s">
        <v>709</v>
      </c>
      <c r="E27" s="11" t="s">
        <v>264</v>
      </c>
      <c r="F27" s="2" t="s">
        <v>136</v>
      </c>
      <c r="G27" s="12" t="s">
        <v>319</v>
      </c>
      <c r="H27" s="12" t="s">
        <v>132</v>
      </c>
      <c r="I27" s="12" t="s">
        <v>84</v>
      </c>
      <c r="J27" s="12"/>
      <c r="K27" s="12"/>
      <c r="L27" s="12"/>
      <c r="M27" s="12"/>
      <c r="N27" s="12"/>
      <c r="O27" s="12"/>
      <c r="P27" s="12"/>
      <c r="Q27" s="12"/>
      <c r="R27" s="12"/>
    </row>
    <row r="28" spans="2:18" x14ac:dyDescent="0.25">
      <c r="B28" s="9" t="s">
        <v>75</v>
      </c>
      <c r="C28" s="10" t="str">
        <f t="shared" si="0"/>
        <v>%SECT%MISC</v>
      </c>
      <c r="D28" s="11"/>
      <c r="E28" s="11"/>
      <c r="I28" s="12"/>
      <c r="J28" s="12"/>
      <c r="K28" s="12"/>
      <c r="L28" s="12"/>
      <c r="M28" s="12"/>
      <c r="N28" s="12"/>
      <c r="O28" s="12"/>
      <c r="P28" s="12"/>
      <c r="Q28" s="12"/>
      <c r="R28" s="12"/>
    </row>
    <row r="29" spans="2:18" x14ac:dyDescent="0.25">
      <c r="B29" s="9" t="s">
        <v>76</v>
      </c>
      <c r="C29" s="10" t="str">
        <f t="shared" si="0"/>
        <v>%SECT%NATION</v>
      </c>
      <c r="D29" s="11" t="s">
        <v>711</v>
      </c>
      <c r="E29" s="11" t="s">
        <v>264</v>
      </c>
      <c r="F29" s="2" t="s">
        <v>307</v>
      </c>
      <c r="G29" s="12" t="s">
        <v>317</v>
      </c>
      <c r="H29" s="12" t="s">
        <v>132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</row>
    <row r="30" spans="2:18" x14ac:dyDescent="0.25">
      <c r="B30" s="9" t="s">
        <v>48</v>
      </c>
      <c r="C30" s="10" t="str">
        <f t="shared" si="0"/>
        <v>%SECT%PROMI</v>
      </c>
      <c r="D30" s="11" t="s">
        <v>709</v>
      </c>
      <c r="E30" s="11" t="s">
        <v>264</v>
      </c>
      <c r="F30" s="2" t="s">
        <v>303</v>
      </c>
      <c r="G30" s="12" t="s">
        <v>318</v>
      </c>
      <c r="H30" s="12" t="s">
        <v>132</v>
      </c>
      <c r="I30" s="12" t="s">
        <v>84</v>
      </c>
      <c r="J30" s="12"/>
      <c r="K30" s="12"/>
      <c r="L30" s="12"/>
      <c r="M30" s="12"/>
      <c r="N30" s="12"/>
      <c r="O30" s="12"/>
      <c r="P30" s="12"/>
      <c r="Q30" s="12"/>
      <c r="R30" s="12"/>
    </row>
    <row r="31" spans="2:18" x14ac:dyDescent="0.25">
      <c r="B31" s="9" t="s">
        <v>49</v>
      </c>
      <c r="C31" s="10" t="str">
        <f t="shared" si="0"/>
        <v>%SECT%PROMIP</v>
      </c>
      <c r="D31" s="11" t="s">
        <v>709</v>
      </c>
      <c r="E31" s="11" t="s">
        <v>264</v>
      </c>
      <c r="F31" s="2" t="s">
        <v>136</v>
      </c>
      <c r="G31" s="12" t="s">
        <v>319</v>
      </c>
      <c r="H31" s="12" t="s">
        <v>132</v>
      </c>
      <c r="I31" s="12" t="s">
        <v>84</v>
      </c>
      <c r="J31" s="12"/>
      <c r="K31" s="12"/>
      <c r="L31" s="12"/>
      <c r="M31" s="12"/>
      <c r="N31" s="12"/>
      <c r="O31" s="12"/>
      <c r="P31" s="12"/>
      <c r="Q31" s="12"/>
      <c r="R31" s="12"/>
    </row>
    <row r="32" spans="2:18" x14ac:dyDescent="0.25">
      <c r="B32" s="9" t="s">
        <v>77</v>
      </c>
      <c r="C32" s="10" t="str">
        <f t="shared" si="0"/>
        <v>%SECT%QUIZ</v>
      </c>
      <c r="D32" s="11"/>
      <c r="E32" s="11"/>
      <c r="I32" s="12"/>
      <c r="J32" s="12"/>
      <c r="K32" s="12"/>
      <c r="L32" s="12"/>
      <c r="M32" s="12"/>
      <c r="N32" s="12"/>
      <c r="O32" s="12"/>
      <c r="P32" s="12"/>
      <c r="Q32" s="12"/>
      <c r="R32" s="12"/>
    </row>
    <row r="33" spans="2:18" x14ac:dyDescent="0.25">
      <c r="B33" s="9" t="s">
        <v>50</v>
      </c>
      <c r="C33" s="10" t="str">
        <f t="shared" si="0"/>
        <v>%SECT%REPORTER</v>
      </c>
      <c r="D33" s="11" t="s">
        <v>709</v>
      </c>
      <c r="E33" s="11" t="s">
        <v>264</v>
      </c>
      <c r="F33" s="2" t="s">
        <v>304</v>
      </c>
      <c r="G33" s="12" t="s">
        <v>318</v>
      </c>
      <c r="H33" s="12" t="s">
        <v>132</v>
      </c>
      <c r="I33" s="12" t="s">
        <v>84</v>
      </c>
      <c r="J33" s="12"/>
      <c r="K33" s="12"/>
      <c r="L33" s="12"/>
      <c r="M33" s="12"/>
      <c r="N33" s="12"/>
      <c r="O33" s="12"/>
      <c r="P33" s="12"/>
      <c r="Q33" s="12"/>
      <c r="R33" s="12"/>
    </row>
    <row r="34" spans="2:18" x14ac:dyDescent="0.25">
      <c r="B34" s="9" t="s">
        <v>51</v>
      </c>
      <c r="C34" s="10" t="str">
        <f t="shared" si="0"/>
        <v>%SECT%SCHIRI</v>
      </c>
      <c r="D34" s="11" t="s">
        <v>708</v>
      </c>
      <c r="E34" s="11" t="s">
        <v>264</v>
      </c>
      <c r="F34" s="2" t="s">
        <v>298</v>
      </c>
      <c r="G34" s="12" t="s">
        <v>318</v>
      </c>
      <c r="H34" s="12" t="s">
        <v>132</v>
      </c>
      <c r="I34" s="12" t="s">
        <v>84</v>
      </c>
      <c r="J34" s="12"/>
      <c r="K34" s="12"/>
      <c r="L34" s="12"/>
      <c r="M34" s="12"/>
      <c r="N34" s="12"/>
      <c r="O34" s="12"/>
      <c r="P34" s="12"/>
      <c r="Q34" s="12"/>
      <c r="R34" s="12"/>
    </row>
    <row r="35" spans="2:18" x14ac:dyDescent="0.25">
      <c r="B35" s="9" t="s">
        <v>52</v>
      </c>
      <c r="C35" s="10" t="str">
        <f t="shared" si="0"/>
        <v>%SECT%SCHIRIP</v>
      </c>
      <c r="D35" s="11" t="s">
        <v>708</v>
      </c>
      <c r="E35" s="11" t="s">
        <v>264</v>
      </c>
      <c r="F35" s="2" t="s">
        <v>136</v>
      </c>
      <c r="G35" s="12" t="s">
        <v>319</v>
      </c>
      <c r="H35" s="12" t="s">
        <v>132</v>
      </c>
      <c r="I35" s="12" t="s">
        <v>84</v>
      </c>
      <c r="J35" s="12"/>
      <c r="K35" s="12"/>
      <c r="L35" s="12"/>
      <c r="M35" s="12"/>
      <c r="N35" s="12"/>
      <c r="O35" s="12"/>
      <c r="P35" s="12"/>
      <c r="Q35" s="12"/>
      <c r="R35" s="12"/>
    </row>
    <row r="36" spans="2:18" x14ac:dyDescent="0.25">
      <c r="B36" s="9" t="s">
        <v>78</v>
      </c>
      <c r="C36" s="10" t="str">
        <f t="shared" si="0"/>
        <v>%SECT%SONSPIELER</v>
      </c>
      <c r="D36" s="11" t="s">
        <v>711</v>
      </c>
      <c r="E36" s="11" t="s">
        <v>264</v>
      </c>
      <c r="F36" s="2" t="s">
        <v>136</v>
      </c>
      <c r="G36" s="12" t="s">
        <v>319</v>
      </c>
      <c r="H36" s="12" t="s">
        <v>132</v>
      </c>
      <c r="I36" s="12"/>
      <c r="J36" s="12"/>
      <c r="K36" s="12"/>
      <c r="L36" s="12" t="s">
        <v>84</v>
      </c>
      <c r="M36" s="12"/>
      <c r="N36" s="12"/>
      <c r="O36" s="12"/>
      <c r="P36" s="12"/>
      <c r="Q36" s="12"/>
      <c r="R36" s="12"/>
    </row>
    <row r="37" spans="2:18" x14ac:dyDescent="0.25">
      <c r="B37" s="9" t="s">
        <v>41</v>
      </c>
      <c r="C37" s="10" t="str">
        <f t="shared" si="0"/>
        <v>%SECT%SPIELER</v>
      </c>
      <c r="D37" s="11" t="s">
        <v>705</v>
      </c>
      <c r="E37" s="11" t="s">
        <v>264</v>
      </c>
      <c r="F37" s="2" t="s">
        <v>137</v>
      </c>
      <c r="G37" s="12" t="s">
        <v>317</v>
      </c>
      <c r="H37" s="12" t="s">
        <v>132</v>
      </c>
      <c r="I37" s="12" t="s">
        <v>84</v>
      </c>
      <c r="J37" s="12"/>
      <c r="K37" s="12" t="s">
        <v>84</v>
      </c>
      <c r="L37" s="12" t="s">
        <v>84</v>
      </c>
      <c r="M37" s="12"/>
      <c r="N37" s="12" t="s">
        <v>84</v>
      </c>
      <c r="O37" s="12"/>
      <c r="P37" s="12"/>
      <c r="Q37" s="12"/>
      <c r="R37" s="12"/>
    </row>
    <row r="38" spans="2:18" x14ac:dyDescent="0.25">
      <c r="B38" s="9" t="s">
        <v>53</v>
      </c>
      <c r="C38" s="10" t="str">
        <f t="shared" si="0"/>
        <v>%SECT%SPONSOR</v>
      </c>
      <c r="D38" s="11" t="s">
        <v>708</v>
      </c>
      <c r="E38" s="11" t="s">
        <v>264</v>
      </c>
      <c r="F38" s="2" t="s">
        <v>299</v>
      </c>
      <c r="G38" s="12" t="s">
        <v>317</v>
      </c>
      <c r="H38" s="12" t="s">
        <v>132</v>
      </c>
      <c r="I38" s="12" t="s">
        <v>84</v>
      </c>
      <c r="J38" s="12"/>
      <c r="K38" s="12"/>
      <c r="L38" s="12"/>
      <c r="M38" s="12"/>
      <c r="N38" s="12"/>
      <c r="O38" s="12"/>
      <c r="P38" s="12"/>
      <c r="Q38" s="12"/>
      <c r="R38" s="12"/>
    </row>
    <row r="39" spans="2:18" x14ac:dyDescent="0.25">
      <c r="B39" s="9" t="s">
        <v>54</v>
      </c>
      <c r="C39" s="10" t="str">
        <f t="shared" si="0"/>
        <v>%SECT%SPONSORP</v>
      </c>
      <c r="D39" s="11" t="s">
        <v>708</v>
      </c>
      <c r="E39" s="11" t="s">
        <v>264</v>
      </c>
      <c r="F39" s="2" t="s">
        <v>136</v>
      </c>
      <c r="G39" s="12" t="s">
        <v>319</v>
      </c>
      <c r="H39" s="12" t="s">
        <v>132</v>
      </c>
      <c r="I39" s="12" t="s">
        <v>84</v>
      </c>
      <c r="J39" s="12"/>
      <c r="K39" s="12"/>
      <c r="L39" s="12"/>
      <c r="M39" s="12"/>
      <c r="N39" s="12"/>
      <c r="O39" s="12"/>
      <c r="P39" s="12"/>
      <c r="Q39" s="12"/>
      <c r="R39" s="12"/>
    </row>
    <row r="40" spans="2:18" x14ac:dyDescent="0.25">
      <c r="B40" s="9" t="s">
        <v>55</v>
      </c>
      <c r="C40" s="10" t="str">
        <f t="shared" si="0"/>
        <v>%SECT%STADION</v>
      </c>
      <c r="D40" s="11" t="s">
        <v>707</v>
      </c>
      <c r="E40" s="11" t="s">
        <v>264</v>
      </c>
      <c r="F40" s="2" t="s">
        <v>296</v>
      </c>
      <c r="G40" s="12" t="s">
        <v>317</v>
      </c>
      <c r="H40" s="12" t="s">
        <v>132</v>
      </c>
      <c r="I40" s="12" t="s">
        <v>84</v>
      </c>
      <c r="J40" s="12"/>
      <c r="K40" s="12" t="s">
        <v>84</v>
      </c>
      <c r="L40" s="12"/>
      <c r="M40" s="12"/>
      <c r="N40" s="12"/>
      <c r="O40" s="12"/>
      <c r="P40" s="12"/>
      <c r="Q40" s="12"/>
      <c r="R40" s="12"/>
    </row>
    <row r="41" spans="2:18" x14ac:dyDescent="0.25">
      <c r="B41" s="9" t="s">
        <v>39</v>
      </c>
      <c r="C41" s="10" t="str">
        <f t="shared" si="0"/>
        <v>%SECT%TRAINER</v>
      </c>
      <c r="D41" s="11" t="s">
        <v>706</v>
      </c>
      <c r="E41" s="11" t="s">
        <v>264</v>
      </c>
      <c r="F41" s="2" t="s">
        <v>294</v>
      </c>
      <c r="G41" s="12" t="s">
        <v>317</v>
      </c>
      <c r="H41" s="12" t="s">
        <v>132</v>
      </c>
      <c r="I41" s="12" t="s">
        <v>84</v>
      </c>
      <c r="J41" s="12"/>
      <c r="K41" s="12" t="s">
        <v>84</v>
      </c>
      <c r="L41" s="12"/>
      <c r="M41" s="12"/>
      <c r="N41" s="12"/>
      <c r="O41" s="12"/>
      <c r="P41" s="12"/>
      <c r="Q41" s="12"/>
      <c r="R41" s="12"/>
    </row>
    <row r="42" spans="2:18" x14ac:dyDescent="0.25">
      <c r="B42" s="9" t="s">
        <v>56</v>
      </c>
      <c r="C42" s="10" t="str">
        <f t="shared" si="0"/>
        <v>%SECT%TRAINERP</v>
      </c>
      <c r="D42" s="11" t="s">
        <v>706</v>
      </c>
      <c r="E42" s="11" t="s">
        <v>264</v>
      </c>
      <c r="F42" s="2" t="s">
        <v>136</v>
      </c>
      <c r="G42" s="12" t="s">
        <v>319</v>
      </c>
      <c r="H42" s="12" t="s">
        <v>132</v>
      </c>
      <c r="I42" s="12" t="s">
        <v>84</v>
      </c>
      <c r="J42" s="12"/>
      <c r="K42" s="12"/>
      <c r="L42" s="12"/>
      <c r="M42" s="12"/>
      <c r="N42" s="12"/>
      <c r="O42" s="12"/>
      <c r="P42" s="12"/>
      <c r="Q42" s="12"/>
      <c r="R42" s="12"/>
    </row>
    <row r="43" spans="2:18" x14ac:dyDescent="0.25">
      <c r="B43" s="9" t="s">
        <v>79</v>
      </c>
      <c r="C43" s="10" t="str">
        <f t="shared" si="0"/>
        <v>%SECT%TURNIERGRP</v>
      </c>
      <c r="D43" s="11" t="s">
        <v>713</v>
      </c>
      <c r="E43" s="11" t="s">
        <v>264</v>
      </c>
      <c r="F43" s="2" t="s">
        <v>311</v>
      </c>
      <c r="G43" s="12" t="s">
        <v>317</v>
      </c>
      <c r="H43" s="12" t="s">
        <v>132</v>
      </c>
      <c r="I43" s="12"/>
      <c r="J43" s="12"/>
      <c r="K43" s="12"/>
      <c r="L43" s="12"/>
      <c r="M43" s="12"/>
      <c r="N43" s="12"/>
      <c r="O43" s="12"/>
      <c r="P43" s="12"/>
      <c r="Q43" s="12" t="s">
        <v>84</v>
      </c>
      <c r="R43" s="12"/>
    </row>
    <row r="44" spans="2:18" x14ac:dyDescent="0.25">
      <c r="B44" s="9" t="s">
        <v>57</v>
      </c>
      <c r="C44" s="10" t="str">
        <f t="shared" si="0"/>
        <v>%SECT%TWTRAINER</v>
      </c>
      <c r="D44" s="11" t="s">
        <v>708</v>
      </c>
      <c r="E44" s="11" t="s">
        <v>264</v>
      </c>
      <c r="F44" s="2" t="s">
        <v>300</v>
      </c>
      <c r="G44" s="12" t="s">
        <v>317</v>
      </c>
      <c r="H44" s="12" t="s">
        <v>132</v>
      </c>
      <c r="I44" s="12" t="s">
        <v>84</v>
      </c>
      <c r="J44" s="12"/>
      <c r="K44" s="12"/>
      <c r="L44" s="12"/>
      <c r="M44" s="12"/>
      <c r="N44" s="12"/>
      <c r="O44" s="12"/>
      <c r="P44" s="12"/>
      <c r="Q44" s="12"/>
      <c r="R44" s="12"/>
    </row>
    <row r="45" spans="2:18" x14ac:dyDescent="0.25">
      <c r="B45" s="9" t="s">
        <v>58</v>
      </c>
      <c r="C45" s="10" t="str">
        <f t="shared" si="0"/>
        <v>%SECT%TWTRAINP</v>
      </c>
      <c r="D45" s="11" t="s">
        <v>708</v>
      </c>
      <c r="E45" s="11" t="s">
        <v>264</v>
      </c>
      <c r="F45" s="2" t="s">
        <v>136</v>
      </c>
      <c r="G45" s="12" t="s">
        <v>319</v>
      </c>
      <c r="H45" s="12" t="s">
        <v>132</v>
      </c>
      <c r="I45" s="12" t="s">
        <v>84</v>
      </c>
      <c r="J45" s="12"/>
      <c r="K45" s="12"/>
      <c r="L45" s="12"/>
      <c r="M45" s="12"/>
      <c r="N45" s="12"/>
      <c r="O45" s="12"/>
      <c r="P45" s="12"/>
      <c r="Q45" s="12"/>
      <c r="R45" s="12"/>
    </row>
    <row r="46" spans="2:18" x14ac:dyDescent="0.25">
      <c r="B46" s="9" t="s">
        <v>80</v>
      </c>
      <c r="C46" s="10" t="str">
        <f t="shared" si="0"/>
        <v>%SECT%UEFA</v>
      </c>
      <c r="D46" s="11"/>
      <c r="E46" s="11"/>
      <c r="I46" s="12"/>
      <c r="J46" s="12"/>
      <c r="K46" s="12"/>
      <c r="L46" s="12"/>
      <c r="M46" s="12"/>
      <c r="N46" s="12"/>
      <c r="O46" s="12"/>
      <c r="P46" s="12"/>
      <c r="Q46" s="12"/>
      <c r="R46" s="12"/>
    </row>
    <row r="47" spans="2:18" x14ac:dyDescent="0.25">
      <c r="B47" s="9" t="s">
        <v>38</v>
      </c>
      <c r="C47" s="10" t="str">
        <f t="shared" si="0"/>
        <v>%SECT%VEREIN</v>
      </c>
      <c r="D47" s="11" t="s">
        <v>705</v>
      </c>
      <c r="E47" s="11" t="s">
        <v>264</v>
      </c>
      <c r="F47" s="2" t="s">
        <v>138</v>
      </c>
      <c r="G47" s="12" t="s">
        <v>318</v>
      </c>
      <c r="H47" s="12" t="s">
        <v>132</v>
      </c>
      <c r="I47" s="12" t="s">
        <v>84</v>
      </c>
      <c r="J47" s="12"/>
      <c r="K47" s="12" t="s">
        <v>84</v>
      </c>
      <c r="L47" s="12"/>
      <c r="M47" s="12"/>
      <c r="N47" s="12"/>
      <c r="O47" s="12"/>
      <c r="P47" s="12"/>
      <c r="Q47" s="12"/>
      <c r="R47" s="12"/>
    </row>
    <row r="48" spans="2:18" x14ac:dyDescent="0.25">
      <c r="B48" s="9" t="s">
        <v>81</v>
      </c>
      <c r="C48" s="10" t="str">
        <f t="shared" si="0"/>
        <v>%SECT%VPRAESID</v>
      </c>
      <c r="D48" s="11" t="s">
        <v>709</v>
      </c>
      <c r="E48" s="11" t="s">
        <v>264</v>
      </c>
      <c r="F48" s="2" t="s">
        <v>305</v>
      </c>
      <c r="G48" s="12" t="s">
        <v>318</v>
      </c>
      <c r="H48" s="12" t="s">
        <v>132</v>
      </c>
      <c r="I48" s="12" t="s">
        <v>84</v>
      </c>
      <c r="J48" s="12"/>
      <c r="K48" s="12"/>
      <c r="L48" s="12"/>
      <c r="M48" s="12"/>
      <c r="N48" s="12"/>
      <c r="O48" s="12"/>
      <c r="P48" s="12"/>
      <c r="Q48" s="12"/>
      <c r="R48" s="12"/>
    </row>
    <row r="49" spans="2:18" x14ac:dyDescent="0.25">
      <c r="B49" s="9" t="s">
        <v>82</v>
      </c>
      <c r="C49" s="10" t="str">
        <f t="shared" si="0"/>
        <v>%SECT%WMGRP</v>
      </c>
      <c r="D49" s="11" t="s">
        <v>713</v>
      </c>
      <c r="E49" s="11" t="s">
        <v>264</v>
      </c>
      <c r="F49" s="2" t="s">
        <v>136</v>
      </c>
      <c r="G49" s="12" t="s">
        <v>319</v>
      </c>
      <c r="H49" s="12" t="s">
        <v>132</v>
      </c>
      <c r="I49" s="12"/>
      <c r="J49" s="12"/>
      <c r="K49" s="12"/>
      <c r="L49" s="12"/>
      <c r="M49" s="12"/>
      <c r="N49" s="12"/>
      <c r="O49" s="12"/>
      <c r="P49" s="12"/>
      <c r="Q49" s="12" t="s">
        <v>84</v>
      </c>
      <c r="R49" s="12"/>
    </row>
    <row r="50" spans="2:18" x14ac:dyDescent="0.25">
      <c r="B50" s="9" t="s">
        <v>269</v>
      </c>
      <c r="C50" s="57" t="s">
        <v>493</v>
      </c>
      <c r="D50" s="17" t="s">
        <v>708</v>
      </c>
      <c r="E50" s="17" t="s">
        <v>264</v>
      </c>
      <c r="F50" s="2" t="s">
        <v>301</v>
      </c>
      <c r="G50" s="12" t="s">
        <v>317</v>
      </c>
      <c r="H50" s="12" t="s">
        <v>132</v>
      </c>
      <c r="I50" s="12" t="s">
        <v>84</v>
      </c>
      <c r="J50" s="12"/>
      <c r="K50" s="12"/>
      <c r="L50" s="12"/>
      <c r="M50" s="12"/>
      <c r="N50" s="12"/>
      <c r="O50" s="12"/>
      <c r="P50" s="12"/>
      <c r="Q50" s="12"/>
      <c r="R50" s="12"/>
    </row>
    <row r="51" spans="2:18" x14ac:dyDescent="0.25">
      <c r="B51" s="9" t="s">
        <v>272</v>
      </c>
      <c r="C51" s="18" t="str">
        <f>HYPERLINK("#'" &amp; B51 &amp; "'!A1",B51)</f>
        <v>ASPIELER_HIDDEN</v>
      </c>
      <c r="D51" s="17" t="s">
        <v>710</v>
      </c>
      <c r="E51" s="17" t="s">
        <v>264</v>
      </c>
      <c r="F51" s="2" t="s">
        <v>306</v>
      </c>
      <c r="G51" s="12" t="s">
        <v>318</v>
      </c>
      <c r="H51" s="12" t="s">
        <v>132</v>
      </c>
      <c r="I51" s="12"/>
      <c r="J51" s="12" t="s">
        <v>84</v>
      </c>
      <c r="K51" s="12"/>
      <c r="L51" s="12"/>
      <c r="M51" s="12"/>
      <c r="N51" s="12"/>
      <c r="O51" s="12"/>
      <c r="P51" s="12"/>
      <c r="Q51" s="12"/>
      <c r="R51" s="12"/>
    </row>
    <row r="52" spans="2:18" x14ac:dyDescent="0.25">
      <c r="B52" s="9" t="s">
        <v>279</v>
      </c>
      <c r="C52" s="18" t="str">
        <f>HYPERLINK("#'" &amp; B52 &amp; "'!A1",B52)</f>
        <v>ISCHIRI_HIDDEN</v>
      </c>
      <c r="D52" s="17" t="s">
        <v>711</v>
      </c>
      <c r="E52" s="17" t="s">
        <v>264</v>
      </c>
      <c r="F52" s="2" t="s">
        <v>308</v>
      </c>
      <c r="G52" s="12" t="s">
        <v>318</v>
      </c>
      <c r="H52" s="12" t="s">
        <v>132</v>
      </c>
      <c r="I52" s="12"/>
      <c r="J52" s="12"/>
      <c r="K52" s="12"/>
      <c r="L52" s="12"/>
      <c r="M52" s="12" t="s">
        <v>84</v>
      </c>
      <c r="N52" s="12"/>
      <c r="O52" s="12"/>
      <c r="P52" s="12"/>
      <c r="Q52" s="12"/>
      <c r="R52" s="12"/>
    </row>
    <row r="53" spans="2:18" x14ac:dyDescent="0.25">
      <c r="B53" s="9" t="s">
        <v>500</v>
      </c>
      <c r="C53" s="18" t="str">
        <f>HYPERLINK("#'" &amp; B53 &amp; "'!A1",B53)</f>
        <v>SPIEL_HIDDEN</v>
      </c>
      <c r="D53" s="17" t="s">
        <v>714</v>
      </c>
      <c r="E53" s="17" t="s">
        <v>264</v>
      </c>
      <c r="F53" s="2" t="s">
        <v>484</v>
      </c>
      <c r="G53" s="12" t="s">
        <v>318</v>
      </c>
      <c r="H53" s="12" t="s">
        <v>132</v>
      </c>
      <c r="I53" s="12"/>
      <c r="J53" s="12"/>
      <c r="K53" s="12"/>
      <c r="L53" s="12"/>
      <c r="M53" s="12"/>
      <c r="N53" s="12"/>
      <c r="O53" s="12"/>
      <c r="P53" s="12"/>
      <c r="Q53" s="12"/>
      <c r="R53" s="12" t="s">
        <v>84</v>
      </c>
    </row>
    <row r="54" spans="2:18" x14ac:dyDescent="0.25">
      <c r="B54" s="9" t="s">
        <v>481</v>
      </c>
      <c r="C54" s="18" t="str">
        <f>HYPERLINK("#'" &amp; B54 &amp; "'!A1",B54)</f>
        <v>SPIELPLAN_VEREIN_HIDDEN</v>
      </c>
      <c r="D54" s="17" t="s">
        <v>714</v>
      </c>
      <c r="E54" s="17" t="s">
        <v>264</v>
      </c>
      <c r="F54" s="2" t="s">
        <v>483</v>
      </c>
      <c r="G54" s="12" t="s">
        <v>318</v>
      </c>
      <c r="H54" s="12" t="s">
        <v>132</v>
      </c>
      <c r="I54" s="12"/>
      <c r="J54" s="12"/>
      <c r="K54" s="12"/>
      <c r="L54" s="12"/>
      <c r="M54" s="12"/>
      <c r="N54" s="12"/>
      <c r="O54" s="12"/>
      <c r="P54" s="12"/>
      <c r="Q54" s="12"/>
      <c r="R54" s="12" t="s">
        <v>84</v>
      </c>
    </row>
    <row r="55" spans="2:18" x14ac:dyDescent="0.25">
      <c r="B55" s="9" t="s">
        <v>268</v>
      </c>
      <c r="C55" s="57" t="s">
        <v>435</v>
      </c>
      <c r="D55" s="17" t="s">
        <v>706</v>
      </c>
      <c r="E55" s="17" t="s">
        <v>264</v>
      </c>
      <c r="F55" s="2" t="s">
        <v>295</v>
      </c>
      <c r="G55" s="12" t="s">
        <v>317</v>
      </c>
      <c r="H55" s="12" t="s">
        <v>132</v>
      </c>
      <c r="I55" s="12" t="s">
        <v>84</v>
      </c>
      <c r="J55" s="12"/>
      <c r="K55" s="12"/>
      <c r="L55" s="12"/>
      <c r="M55" s="12"/>
      <c r="N55" s="12"/>
      <c r="O55" s="12"/>
      <c r="P55" s="12"/>
      <c r="Q55" s="12"/>
      <c r="R55" s="12"/>
    </row>
  </sheetData>
  <hyperlinks>
    <hyperlink ref="C55" location="'%SECT%VEREIN'!A1" display="'%SECT%VEREIN'!A1" xr:uid="{00000000-0004-0000-0400-000000000000}"/>
    <hyperlink ref="C50" location="'%SECT%AJUGEND'!A1" display="'%SECT%AJUGEND'!A1" xr:uid="{00000000-0004-0000-0400-000001000000}"/>
  </hyperlinks>
  <pageMargins left="0.7" right="0.7" top="0.75" bottom="0.75" header="0.3" footer="0.3"/>
  <pageSetup paperSize="9" orientation="portrait" horizontalDpi="4294967293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400-000000000000}">
          <x14:formula1>
            <xm:f>LISTS!$D$2:$D$26</xm:f>
          </x14:formula1>
          <xm:sqref>E4:E55</xm:sqref>
        </x14:dataValidation>
        <x14:dataValidation type="list" allowBlank="1" showInputMessage="1" showErrorMessage="1" xr:uid="{00000000-0002-0000-0400-000001000000}">
          <x14:formula1>
            <xm:f>LISTS!$B$2:$B$25</xm:f>
          </x14:formula1>
          <xm:sqref>D4:D55</xm:sqref>
        </x14:dataValidation>
        <x14:dataValidation type="list" allowBlank="1" showInputMessage="1" showErrorMessage="1" xr:uid="{00000000-0002-0000-0400-000002000000}">
          <x14:formula1>
            <xm:f>LISTS!$E$2:$E$10</xm:f>
          </x14:formula1>
          <xm:sqref>G4:G55 H4:H7</xm:sqref>
        </x14:dataValidation>
        <x14:dataValidation type="list" allowBlank="1" showInputMessage="1" showErrorMessage="1" xr:uid="{00000000-0002-0000-0400-000003000000}">
          <x14:formula1>
            <xm:f>LISTS!$C$2:$C$3</xm:f>
          </x14:formula1>
          <xm:sqref>H8:H56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16"/>
  <sheetViews>
    <sheetView workbookViewId="0">
      <selection activeCell="C5" sqref="C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8.7109375" style="34" customWidth="1"/>
    <col min="5" max="5" width="20.5703125" bestFit="1" customWidth="1"/>
  </cols>
  <sheetData>
    <row r="1" spans="1:15" x14ac:dyDescent="0.25">
      <c r="A1" s="6" t="s">
        <v>144</v>
      </c>
      <c r="B1" s="6" t="s">
        <v>116</v>
      </c>
      <c r="C1" s="6" t="s">
        <v>115</v>
      </c>
    </row>
    <row r="2" spans="1:15" x14ac:dyDescent="0.25">
      <c r="A2" s="20">
        <v>0</v>
      </c>
      <c r="B2" s="22" t="s">
        <v>42</v>
      </c>
      <c r="G2" s="5"/>
      <c r="H2" s="102"/>
      <c r="I2" s="102"/>
      <c r="J2" s="102"/>
      <c r="K2" s="102"/>
      <c r="L2" s="102"/>
      <c r="M2" s="102"/>
      <c r="N2" s="102"/>
      <c r="O2" s="102"/>
    </row>
    <row r="3" spans="1:15" x14ac:dyDescent="0.25">
      <c r="A3" s="20">
        <v>1</v>
      </c>
      <c r="B3" s="33" t="s">
        <v>120</v>
      </c>
    </row>
    <row r="4" spans="1:15" x14ac:dyDescent="0.25">
      <c r="A4" s="20">
        <v>2</v>
      </c>
      <c r="B4" s="33" t="s">
        <v>119</v>
      </c>
    </row>
    <row r="5" spans="1:15" ht="45" x14ac:dyDescent="0.25">
      <c r="A5" s="3">
        <v>3</v>
      </c>
      <c r="B5" s="69" t="s">
        <v>717</v>
      </c>
      <c r="C5" s="68" t="s">
        <v>110</v>
      </c>
    </row>
    <row r="6" spans="1:15" x14ac:dyDescent="0.25">
      <c r="A6" s="20">
        <v>4</v>
      </c>
      <c r="B6" s="33" t="s">
        <v>718</v>
      </c>
      <c r="C6" s="65" t="s">
        <v>485</v>
      </c>
      <c r="D6" s="59" t="s">
        <v>99</v>
      </c>
      <c r="E6" s="60"/>
    </row>
    <row r="7" spans="1:15" x14ac:dyDescent="0.25">
      <c r="A7" s="20">
        <v>5</v>
      </c>
      <c r="B7" s="22" t="s">
        <v>98</v>
      </c>
      <c r="D7" s="61">
        <v>0</v>
      </c>
      <c r="E7" s="62" t="s">
        <v>100</v>
      </c>
    </row>
    <row r="8" spans="1:15" x14ac:dyDescent="0.25">
      <c r="D8" s="61">
        <v>1</v>
      </c>
      <c r="E8" s="62" t="s">
        <v>101</v>
      </c>
    </row>
    <row r="9" spans="1:15" x14ac:dyDescent="0.25">
      <c r="D9" s="61">
        <v>2</v>
      </c>
      <c r="E9" s="62" t="s">
        <v>102</v>
      </c>
    </row>
    <row r="10" spans="1:15" x14ac:dyDescent="0.25">
      <c r="D10" s="61">
        <v>3</v>
      </c>
      <c r="E10" s="62" t="s">
        <v>103</v>
      </c>
    </row>
    <row r="11" spans="1:15" x14ac:dyDescent="0.25">
      <c r="D11" s="61">
        <v>4</v>
      </c>
      <c r="E11" s="62" t="s">
        <v>104</v>
      </c>
    </row>
    <row r="12" spans="1:15" x14ac:dyDescent="0.25">
      <c r="D12" s="61">
        <v>5</v>
      </c>
      <c r="E12" s="62" t="s">
        <v>105</v>
      </c>
    </row>
    <row r="13" spans="1:15" x14ac:dyDescent="0.25">
      <c r="D13" s="61">
        <v>6</v>
      </c>
      <c r="E13" s="62" t="s">
        <v>106</v>
      </c>
    </row>
    <row r="14" spans="1:15" x14ac:dyDescent="0.25">
      <c r="D14" s="61">
        <v>7</v>
      </c>
      <c r="E14" s="62" t="s">
        <v>107</v>
      </c>
    </row>
    <row r="15" spans="1:15" x14ac:dyDescent="0.25">
      <c r="D15" s="61">
        <v>8</v>
      </c>
      <c r="E15" s="62" t="s">
        <v>108</v>
      </c>
    </row>
    <row r="16" spans="1:15" x14ac:dyDescent="0.25">
      <c r="D16" s="63">
        <v>9</v>
      </c>
      <c r="E16" s="64" t="s">
        <v>109</v>
      </c>
    </row>
  </sheetData>
  <mergeCells count="1">
    <mergeCell ref="H2:O2"/>
  </mergeCells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7"/>
  <sheetViews>
    <sheetView workbookViewId="0"/>
  </sheetViews>
  <sheetFormatPr defaultRowHeight="15" x14ac:dyDescent="0.25"/>
  <cols>
    <col min="1" max="1" width="9.140625" style="20"/>
    <col min="2" max="2" width="22.710937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43</v>
      </c>
    </row>
    <row r="3" spans="1:3" x14ac:dyDescent="0.25">
      <c r="A3" s="20">
        <v>1</v>
      </c>
      <c r="B3" s="33" t="s">
        <v>252</v>
      </c>
    </row>
    <row r="4" spans="1:3" x14ac:dyDescent="0.25">
      <c r="A4" s="20">
        <v>2</v>
      </c>
      <c r="B4" s="39" t="s">
        <v>350</v>
      </c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C7"/>
  <sheetViews>
    <sheetView workbookViewId="0">
      <selection activeCell="B5" sqref="B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7"/>
  <sheetViews>
    <sheetView workbookViewId="0">
      <selection activeCell="D8" sqref="D8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C13"/>
  <sheetViews>
    <sheetView workbookViewId="0">
      <selection activeCell="C5" sqref="C5"/>
    </sheetView>
  </sheetViews>
  <sheetFormatPr defaultRowHeight="15" x14ac:dyDescent="0.25"/>
  <cols>
    <col min="1" max="1" width="9.140625" style="20"/>
    <col min="2" max="2" width="24.28515625" style="34" bestFit="1" customWidth="1"/>
    <col min="3" max="3" width="45.7109375" style="34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63</v>
      </c>
    </row>
    <row r="3" spans="1:3" x14ac:dyDescent="0.25">
      <c r="A3" s="20">
        <v>1</v>
      </c>
      <c r="B3" s="33" t="s">
        <v>357</v>
      </c>
    </row>
    <row r="4" spans="1:3" x14ac:dyDescent="0.25">
      <c r="A4" s="21">
        <v>2</v>
      </c>
      <c r="B4" s="33" t="s">
        <v>358</v>
      </c>
    </row>
    <row r="5" spans="1:3" ht="30" x14ac:dyDescent="0.25">
      <c r="A5" s="3">
        <v>3</v>
      </c>
      <c r="B5" s="69" t="s">
        <v>359</v>
      </c>
      <c r="C5" s="68" t="s">
        <v>492</v>
      </c>
    </row>
    <row r="6" spans="1:3" ht="30" x14ac:dyDescent="0.25">
      <c r="A6" s="3">
        <v>4</v>
      </c>
      <c r="B6" s="69" t="s">
        <v>363</v>
      </c>
      <c r="C6" s="68" t="s">
        <v>491</v>
      </c>
    </row>
    <row r="7" spans="1:3" ht="30" x14ac:dyDescent="0.25">
      <c r="A7" s="3">
        <v>5</v>
      </c>
      <c r="B7" s="26" t="s">
        <v>360</v>
      </c>
      <c r="C7" s="68" t="s">
        <v>492</v>
      </c>
    </row>
    <row r="8" spans="1:3" ht="30" x14ac:dyDescent="0.25">
      <c r="A8" s="3">
        <v>6</v>
      </c>
      <c r="B8" s="30" t="s">
        <v>364</v>
      </c>
      <c r="C8" s="68" t="s">
        <v>491</v>
      </c>
    </row>
    <row r="9" spans="1:3" ht="30" x14ac:dyDescent="0.25">
      <c r="A9" s="3">
        <v>7</v>
      </c>
      <c r="B9" s="30" t="s">
        <v>361</v>
      </c>
      <c r="C9" s="68" t="s">
        <v>492</v>
      </c>
    </row>
    <row r="10" spans="1:3" ht="30" x14ac:dyDescent="0.25">
      <c r="A10" s="3">
        <v>8</v>
      </c>
      <c r="B10" s="30" t="s">
        <v>365</v>
      </c>
      <c r="C10" s="68" t="s">
        <v>491</v>
      </c>
    </row>
    <row r="11" spans="1:3" ht="30" x14ac:dyDescent="0.25">
      <c r="A11" s="3">
        <v>9</v>
      </c>
      <c r="B11" s="30" t="s">
        <v>362</v>
      </c>
      <c r="C11" s="68" t="s">
        <v>492</v>
      </c>
    </row>
    <row r="12" spans="1:3" ht="30" x14ac:dyDescent="0.25">
      <c r="A12" s="3">
        <v>10</v>
      </c>
      <c r="B12" s="30" t="s">
        <v>366</v>
      </c>
      <c r="C12" s="68" t="s">
        <v>491</v>
      </c>
    </row>
    <row r="13" spans="1:3" x14ac:dyDescent="0.25">
      <c r="A13" s="21">
        <v>11</v>
      </c>
      <c r="B13" s="22" t="s">
        <v>356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C7"/>
  <sheetViews>
    <sheetView workbookViewId="0">
      <selection activeCell="K20" sqref="K20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C7"/>
  <sheetViews>
    <sheetView workbookViewId="0">
      <selection activeCell="A2" sqref="A2:B2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C7"/>
  <sheetViews>
    <sheetView workbookViewId="0">
      <selection activeCell="B2" sqref="B2:B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1</v>
      </c>
      <c r="B2" s="23" t="s">
        <v>329</v>
      </c>
    </row>
    <row r="3" spans="1:3" x14ac:dyDescent="0.25">
      <c r="A3" s="20">
        <v>2</v>
      </c>
      <c r="B3" s="23" t="s">
        <v>329</v>
      </c>
    </row>
    <row r="4" spans="1:3" x14ac:dyDescent="0.25">
      <c r="A4" s="20">
        <v>3</v>
      </c>
      <c r="B4" s="23" t="s">
        <v>329</v>
      </c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C7"/>
  <sheetViews>
    <sheetView workbookViewId="0">
      <selection sqref="A1:C1048576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C7"/>
  <sheetViews>
    <sheetView workbookViewId="0">
      <selection activeCell="N26" sqref="N26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C7"/>
  <sheetViews>
    <sheetView workbookViewId="0">
      <selection activeCell="D18" sqref="D18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8.285156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72</v>
      </c>
    </row>
    <row r="3" spans="1:3" x14ac:dyDescent="0.25">
      <c r="A3" s="20">
        <v>1</v>
      </c>
      <c r="B3" s="33" t="s">
        <v>252</v>
      </c>
    </row>
    <row r="4" spans="1:3" x14ac:dyDescent="0.25">
      <c r="A4" s="21">
        <v>2</v>
      </c>
      <c r="B4" s="33" t="s">
        <v>260</v>
      </c>
      <c r="C4" s="34" t="s">
        <v>486</v>
      </c>
    </row>
    <row r="5" spans="1:3" x14ac:dyDescent="0.25">
      <c r="A5" s="21">
        <v>3</v>
      </c>
      <c r="B5" s="39" t="s">
        <v>355</v>
      </c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1:C7"/>
  <sheetViews>
    <sheetView workbookViewId="0"/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44</v>
      </c>
    </row>
    <row r="3" spans="1:3" x14ac:dyDescent="0.25">
      <c r="A3" s="20">
        <v>1</v>
      </c>
      <c r="B3" s="33" t="s">
        <v>119</v>
      </c>
    </row>
    <row r="4" spans="1:3" x14ac:dyDescent="0.25">
      <c r="A4" s="20">
        <v>2</v>
      </c>
      <c r="B4" s="33" t="s">
        <v>120</v>
      </c>
    </row>
    <row r="5" spans="1:3" x14ac:dyDescent="0.25">
      <c r="A5" s="20">
        <v>3</v>
      </c>
      <c r="B5" s="39" t="s">
        <v>331</v>
      </c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3"/>
  <dimension ref="A1:C9"/>
  <sheetViews>
    <sheetView workbookViewId="0">
      <selection activeCell="C3" sqref="C3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32.710937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37</v>
      </c>
    </row>
    <row r="3" spans="1:3" x14ac:dyDescent="0.25">
      <c r="A3" s="20">
        <v>1</v>
      </c>
      <c r="B3" s="33" t="s">
        <v>352</v>
      </c>
    </row>
    <row r="4" spans="1:3" x14ac:dyDescent="0.25">
      <c r="A4" s="21">
        <v>2</v>
      </c>
      <c r="B4" s="33" t="s">
        <v>329</v>
      </c>
    </row>
    <row r="5" spans="1:3" x14ac:dyDescent="0.25">
      <c r="A5" s="21">
        <v>3</v>
      </c>
      <c r="B5" s="33" t="s">
        <v>496</v>
      </c>
    </row>
    <row r="6" spans="1:3" x14ac:dyDescent="0.25">
      <c r="A6" s="21">
        <v>4</v>
      </c>
      <c r="B6" s="33" t="s">
        <v>329</v>
      </c>
    </row>
    <row r="7" spans="1:3" x14ac:dyDescent="0.25">
      <c r="A7" s="21">
        <v>5</v>
      </c>
      <c r="B7" s="23" t="s">
        <v>329</v>
      </c>
    </row>
    <row r="8" spans="1:3" x14ac:dyDescent="0.25">
      <c r="A8" s="21">
        <v>6</v>
      </c>
      <c r="B8" s="34" t="s">
        <v>329</v>
      </c>
    </row>
    <row r="9" spans="1:3" x14ac:dyDescent="0.25">
      <c r="A9" s="21">
        <v>7</v>
      </c>
      <c r="B9" s="22" t="s">
        <v>351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4"/>
  <dimension ref="A1:C7"/>
  <sheetViews>
    <sheetView workbookViewId="0">
      <selection activeCell="B5" sqref="B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74</v>
      </c>
    </row>
    <row r="3" spans="1:3" x14ac:dyDescent="0.25">
      <c r="A3" s="20">
        <v>1</v>
      </c>
      <c r="B3" s="34" t="s">
        <v>489</v>
      </c>
    </row>
    <row r="4" spans="1:3" x14ac:dyDescent="0.25">
      <c r="A4" s="20">
        <v>2</v>
      </c>
      <c r="B4" s="34" t="s">
        <v>490</v>
      </c>
    </row>
    <row r="5" spans="1:3" x14ac:dyDescent="0.25">
      <c r="A5" s="20">
        <v>3</v>
      </c>
      <c r="B5" s="33" t="s">
        <v>499</v>
      </c>
    </row>
    <row r="6" spans="1:3" x14ac:dyDescent="0.25">
      <c r="B6" s="41" t="s">
        <v>487</v>
      </c>
    </row>
    <row r="7" spans="1:3" x14ac:dyDescent="0.25">
      <c r="B7" s="22" t="s">
        <v>488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5"/>
  <dimension ref="A1:C8"/>
  <sheetViews>
    <sheetView workbookViewId="0">
      <selection activeCell="B5" sqref="B5"/>
    </sheetView>
  </sheetViews>
  <sheetFormatPr defaultRowHeight="15" x14ac:dyDescent="0.25"/>
  <cols>
    <col min="1" max="1" width="9.140625" style="20"/>
    <col min="2" max="2" width="21.8554687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40</v>
      </c>
    </row>
    <row r="3" spans="1:3" x14ac:dyDescent="0.25">
      <c r="A3" s="20">
        <v>1</v>
      </c>
      <c r="B3" s="33" t="s">
        <v>120</v>
      </c>
    </row>
    <row r="4" spans="1:3" x14ac:dyDescent="0.25">
      <c r="A4" s="20">
        <v>2</v>
      </c>
      <c r="B4" s="33" t="s">
        <v>119</v>
      </c>
    </row>
    <row r="5" spans="1:3" x14ac:dyDescent="0.25">
      <c r="A5" s="20">
        <v>3</v>
      </c>
      <c r="B5" s="33" t="s">
        <v>315</v>
      </c>
    </row>
    <row r="6" spans="1:3" x14ac:dyDescent="0.25">
      <c r="A6" s="20">
        <v>4</v>
      </c>
      <c r="B6" s="33" t="s">
        <v>121</v>
      </c>
    </row>
    <row r="7" spans="1:3" x14ac:dyDescent="0.25">
      <c r="A7" s="20">
        <v>5</v>
      </c>
      <c r="B7" s="33" t="s">
        <v>118</v>
      </c>
    </row>
    <row r="8" spans="1:3" x14ac:dyDescent="0.25">
      <c r="A8" s="20">
        <v>6</v>
      </c>
      <c r="B8" s="22" t="s">
        <v>314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8"/>
  <dimension ref="A1:C7"/>
  <sheetViews>
    <sheetView workbookViewId="0">
      <selection sqref="A1:C1048576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9"/>
  <dimension ref="A1:C14"/>
  <sheetViews>
    <sheetView workbookViewId="0">
      <selection activeCell="B11" sqref="B4:B11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76</v>
      </c>
    </row>
    <row r="3" spans="1:3" x14ac:dyDescent="0.25">
      <c r="A3" s="20">
        <v>1</v>
      </c>
      <c r="B3" s="33" t="s">
        <v>260</v>
      </c>
    </row>
    <row r="4" spans="1:3" x14ac:dyDescent="0.25">
      <c r="A4" s="21">
        <v>2</v>
      </c>
      <c r="B4" s="33" t="s">
        <v>329</v>
      </c>
    </row>
    <row r="5" spans="1:3" x14ac:dyDescent="0.25">
      <c r="A5" s="21">
        <v>3</v>
      </c>
      <c r="B5" s="33" t="s">
        <v>354</v>
      </c>
    </row>
    <row r="6" spans="1:3" x14ac:dyDescent="0.25">
      <c r="A6" s="21">
        <v>4</v>
      </c>
      <c r="B6" s="33" t="s">
        <v>329</v>
      </c>
    </row>
    <row r="7" spans="1:3" x14ac:dyDescent="0.25">
      <c r="A7" s="21">
        <v>5</v>
      </c>
      <c r="B7" s="33" t="s">
        <v>329</v>
      </c>
    </row>
    <row r="8" spans="1:3" x14ac:dyDescent="0.25">
      <c r="A8" s="21">
        <v>6</v>
      </c>
      <c r="B8" s="33" t="s">
        <v>329</v>
      </c>
    </row>
    <row r="9" spans="1:3" x14ac:dyDescent="0.25">
      <c r="A9" s="21">
        <v>7</v>
      </c>
      <c r="B9" s="33" t="s">
        <v>329</v>
      </c>
    </row>
    <row r="10" spans="1:3" x14ac:dyDescent="0.25">
      <c r="A10" s="21">
        <v>8</v>
      </c>
      <c r="B10" s="33" t="s">
        <v>329</v>
      </c>
    </row>
    <row r="11" spans="1:3" x14ac:dyDescent="0.25">
      <c r="A11" s="21">
        <v>9</v>
      </c>
      <c r="B11" s="33" t="s">
        <v>329</v>
      </c>
    </row>
    <row r="12" spans="1:3" x14ac:dyDescent="0.25">
      <c r="A12" s="21">
        <v>10</v>
      </c>
      <c r="B12" s="33" t="s">
        <v>329</v>
      </c>
    </row>
    <row r="13" spans="1:3" x14ac:dyDescent="0.25">
      <c r="A13" s="21">
        <v>11</v>
      </c>
      <c r="B13" s="33" t="s">
        <v>329</v>
      </c>
    </row>
    <row r="14" spans="1:3" x14ac:dyDescent="0.25">
      <c r="A14" s="21">
        <v>12</v>
      </c>
      <c r="B14" s="22" t="s">
        <v>353</v>
      </c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0"/>
  <dimension ref="A1:C7"/>
  <sheetViews>
    <sheetView workbookViewId="0">
      <selection activeCell="B5" sqref="B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48</v>
      </c>
    </row>
    <row r="3" spans="1:3" x14ac:dyDescent="0.25">
      <c r="A3" s="20">
        <v>1</v>
      </c>
      <c r="B3" s="33" t="s">
        <v>119</v>
      </c>
    </row>
    <row r="4" spans="1:3" x14ac:dyDescent="0.25">
      <c r="A4" s="20">
        <v>2</v>
      </c>
      <c r="B4" s="33" t="s">
        <v>120</v>
      </c>
    </row>
    <row r="5" spans="1:3" ht="60" x14ac:dyDescent="0.25">
      <c r="A5" s="3">
        <v>3</v>
      </c>
      <c r="B5" s="69" t="s">
        <v>333</v>
      </c>
      <c r="C5" s="68" t="s">
        <v>110</v>
      </c>
    </row>
    <row r="6" spans="1:3" x14ac:dyDescent="0.25">
      <c r="A6" s="20">
        <v>4</v>
      </c>
      <c r="B6" s="39" t="s">
        <v>332</v>
      </c>
    </row>
    <row r="7" spans="1:3" x14ac:dyDescent="0.25">
      <c r="B7" s="22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2"/>
  <dimension ref="A1:C7"/>
  <sheetViews>
    <sheetView workbookViewId="0">
      <selection sqref="A1:C1048576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3"/>
  <dimension ref="A1:E9"/>
  <sheetViews>
    <sheetView workbookViewId="0">
      <selection activeCell="B4" sqref="B4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  <col min="5" max="5" width="11.28515625" bestFit="1" customWidth="1"/>
  </cols>
  <sheetData>
    <row r="1" spans="1:5" x14ac:dyDescent="0.25">
      <c r="A1" s="6" t="s">
        <v>144</v>
      </c>
      <c r="B1" s="6" t="s">
        <v>116</v>
      </c>
      <c r="C1" s="6" t="s">
        <v>115</v>
      </c>
    </row>
    <row r="2" spans="1:5" x14ac:dyDescent="0.25">
      <c r="A2" s="20">
        <v>0</v>
      </c>
      <c r="B2" s="22" t="s">
        <v>50</v>
      </c>
      <c r="C2" s="65"/>
    </row>
    <row r="3" spans="1:5" x14ac:dyDescent="0.25">
      <c r="A3" s="20">
        <v>1</v>
      </c>
      <c r="B3" s="33" t="s">
        <v>335</v>
      </c>
      <c r="C3" s="65"/>
    </row>
    <row r="4" spans="1:5" x14ac:dyDescent="0.25">
      <c r="A4" s="20">
        <v>2</v>
      </c>
      <c r="B4" s="33" t="s">
        <v>119</v>
      </c>
      <c r="C4" s="65"/>
    </row>
    <row r="5" spans="1:5" x14ac:dyDescent="0.25">
      <c r="A5" s="20">
        <v>3</v>
      </c>
      <c r="B5" s="33" t="s">
        <v>120</v>
      </c>
      <c r="C5" s="65"/>
    </row>
    <row r="6" spans="1:5" x14ac:dyDescent="0.25">
      <c r="A6" s="20">
        <v>4</v>
      </c>
      <c r="B6" s="101" t="s">
        <v>728</v>
      </c>
      <c r="C6" s="65" t="s">
        <v>497</v>
      </c>
      <c r="D6" s="66" t="s">
        <v>728</v>
      </c>
      <c r="E6" s="60"/>
    </row>
    <row r="7" spans="1:5" x14ac:dyDescent="0.25">
      <c r="A7" s="20">
        <v>5</v>
      </c>
      <c r="B7" s="22" t="s">
        <v>334</v>
      </c>
      <c r="C7" s="65"/>
      <c r="D7" s="61">
        <v>0</v>
      </c>
      <c r="E7" s="62" t="s">
        <v>727</v>
      </c>
    </row>
    <row r="8" spans="1:5" x14ac:dyDescent="0.25">
      <c r="D8" s="61">
        <v>1</v>
      </c>
      <c r="E8" s="62" t="s">
        <v>337</v>
      </c>
    </row>
    <row r="9" spans="1:5" x14ac:dyDescent="0.25">
      <c r="D9" s="63">
        <v>2</v>
      </c>
      <c r="E9" s="64" t="s">
        <v>336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4"/>
  <dimension ref="A1:E14"/>
  <sheetViews>
    <sheetView workbookViewId="0">
      <selection activeCell="G13" sqref="G13"/>
    </sheetView>
  </sheetViews>
  <sheetFormatPr defaultRowHeight="15" x14ac:dyDescent="0.25"/>
  <cols>
    <col min="1" max="1" width="9.140625" style="20"/>
    <col min="2" max="2" width="26.7109375" style="34" bestFit="1" customWidth="1"/>
    <col min="3" max="3" width="20.42578125" style="34" bestFit="1" customWidth="1"/>
    <col min="4" max="4" width="26.7109375" bestFit="1" customWidth="1"/>
    <col min="5" max="5" width="9" bestFit="1" customWidth="1"/>
    <col min="6" max="6" width="15.140625" customWidth="1"/>
  </cols>
  <sheetData>
    <row r="1" spans="1:5" x14ac:dyDescent="0.25">
      <c r="A1" s="6" t="s">
        <v>144</v>
      </c>
      <c r="B1" s="6" t="s">
        <v>116</v>
      </c>
      <c r="C1" s="6" t="s">
        <v>115</v>
      </c>
    </row>
    <row r="2" spans="1:5" x14ac:dyDescent="0.25">
      <c r="A2" s="20">
        <v>0</v>
      </c>
      <c r="B2" s="22" t="s">
        <v>51</v>
      </c>
    </row>
    <row r="3" spans="1:5" x14ac:dyDescent="0.25">
      <c r="A3" s="20">
        <v>1</v>
      </c>
      <c r="B3" s="33" t="s">
        <v>120</v>
      </c>
    </row>
    <row r="4" spans="1:5" x14ac:dyDescent="0.25">
      <c r="A4" s="20">
        <v>2</v>
      </c>
      <c r="B4" s="33" t="s">
        <v>119</v>
      </c>
    </row>
    <row r="5" spans="1:5" x14ac:dyDescent="0.25">
      <c r="A5" s="20">
        <v>3</v>
      </c>
      <c r="B5" s="33" t="s">
        <v>315</v>
      </c>
    </row>
    <row r="6" spans="1:5" x14ac:dyDescent="0.25">
      <c r="A6" s="20">
        <v>4</v>
      </c>
      <c r="B6" s="34" t="s">
        <v>340</v>
      </c>
    </row>
    <row r="7" spans="1:5" ht="75" x14ac:dyDescent="0.25">
      <c r="A7" s="3">
        <v>5</v>
      </c>
      <c r="B7" s="26" t="s">
        <v>341</v>
      </c>
      <c r="C7" s="68" t="s">
        <v>555</v>
      </c>
    </row>
    <row r="8" spans="1:5" x14ac:dyDescent="0.25">
      <c r="A8" s="20">
        <v>6</v>
      </c>
      <c r="B8" s="34" t="s">
        <v>342</v>
      </c>
      <c r="D8" s="66" t="s">
        <v>342</v>
      </c>
      <c r="E8" s="67" t="s">
        <v>343</v>
      </c>
    </row>
    <row r="9" spans="1:5" x14ac:dyDescent="0.25">
      <c r="A9" s="20">
        <v>7</v>
      </c>
      <c r="B9" s="22" t="s">
        <v>339</v>
      </c>
      <c r="D9" s="61" t="s">
        <v>595</v>
      </c>
      <c r="E9" s="62">
        <v>0</v>
      </c>
    </row>
    <row r="10" spans="1:5" x14ac:dyDescent="0.25">
      <c r="D10" s="61" t="s">
        <v>344</v>
      </c>
      <c r="E10" s="62">
        <v>1</v>
      </c>
    </row>
    <row r="11" spans="1:5" x14ac:dyDescent="0.25">
      <c r="D11" s="61" t="s">
        <v>345</v>
      </c>
      <c r="E11" s="62">
        <v>2</v>
      </c>
    </row>
    <row r="12" spans="1:5" x14ac:dyDescent="0.25">
      <c r="D12" s="61" t="s">
        <v>723</v>
      </c>
      <c r="E12" s="62">
        <v>4</v>
      </c>
    </row>
    <row r="13" spans="1:5" x14ac:dyDescent="0.25">
      <c r="D13" s="61" t="s">
        <v>724</v>
      </c>
      <c r="E13" s="62">
        <v>8</v>
      </c>
    </row>
    <row r="14" spans="1:5" x14ac:dyDescent="0.25">
      <c r="D14" s="63" t="s">
        <v>725</v>
      </c>
      <c r="E14" s="64">
        <v>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7"/>
  <dimension ref="A1:T39"/>
  <sheetViews>
    <sheetView zoomScaleNormal="100" workbookViewId="0">
      <pane xSplit="2" ySplit="1" topLeftCell="P12" activePane="bottomRight" state="frozen"/>
      <selection pane="topRight" activeCell="B1" sqref="B1"/>
      <selection pane="bottomLeft" activeCell="A4" sqref="A4"/>
      <selection pane="bottomRight" activeCell="A16" sqref="A16:XFD16"/>
    </sheetView>
  </sheetViews>
  <sheetFormatPr defaultColWidth="9.140625" defaultRowHeight="15" x14ac:dyDescent="0.25"/>
  <cols>
    <col min="1" max="1" width="9.140625" style="12"/>
    <col min="2" max="2" width="29.42578125" style="82" bestFit="1" customWidth="1"/>
    <col min="3" max="3" width="63.85546875" style="82" bestFit="1" customWidth="1"/>
    <col min="4" max="4" width="16.5703125" style="12" customWidth="1"/>
    <col min="5" max="5" width="22.42578125" style="12" customWidth="1"/>
    <col min="6" max="6" width="11.7109375" style="12" bestFit="1" customWidth="1"/>
    <col min="7" max="7" width="19.42578125" style="12" bestFit="1" customWidth="1"/>
    <col min="8" max="8" width="26.7109375" style="12" bestFit="1" customWidth="1"/>
    <col min="9" max="9" width="19.140625" style="12" bestFit="1" customWidth="1"/>
    <col min="10" max="10" width="9.42578125" style="12" bestFit="1" customWidth="1"/>
    <col min="11" max="11" width="15.5703125" style="12" bestFit="1" customWidth="1"/>
    <col min="12" max="12" width="22.85546875" style="12" bestFit="1" customWidth="1"/>
    <col min="13" max="13" width="19.28515625" style="12" bestFit="1" customWidth="1"/>
    <col min="14" max="14" width="9.42578125" style="12" bestFit="1" customWidth="1"/>
    <col min="15" max="15" width="18.85546875" style="12" bestFit="1" customWidth="1"/>
    <col min="16" max="16" width="9.140625" style="12"/>
    <col min="17" max="17" width="25" style="12" bestFit="1" customWidth="1"/>
    <col min="18" max="18" width="26.140625" style="12" customWidth="1"/>
    <col min="19" max="19" width="20.5703125" style="12" bestFit="1" customWidth="1"/>
    <col min="20" max="20" width="35.7109375" style="12" customWidth="1"/>
    <col min="21" max="16384" width="9.140625" style="12"/>
  </cols>
  <sheetData>
    <row r="1" spans="1:18" x14ac:dyDescent="0.25">
      <c r="A1" s="7" t="s">
        <v>144</v>
      </c>
      <c r="B1" s="7" t="s">
        <v>116</v>
      </c>
      <c r="C1" s="7" t="s">
        <v>115</v>
      </c>
    </row>
    <row r="2" spans="1:18" s="7" customFormat="1" x14ac:dyDescent="0.25">
      <c r="A2" s="71">
        <v>0</v>
      </c>
      <c r="B2" s="79" t="s">
        <v>41</v>
      </c>
      <c r="C2" s="79"/>
    </row>
    <row r="3" spans="1:18" x14ac:dyDescent="0.25">
      <c r="A3" s="12">
        <v>1</v>
      </c>
      <c r="B3" s="29" t="s">
        <v>119</v>
      </c>
      <c r="C3" s="32"/>
    </row>
    <row r="4" spans="1:18" x14ac:dyDescent="0.25">
      <c r="A4" s="71">
        <v>2</v>
      </c>
      <c r="B4" s="29" t="s">
        <v>120</v>
      </c>
      <c r="C4" s="32"/>
    </row>
    <row r="5" spans="1:18" x14ac:dyDescent="0.25">
      <c r="A5" s="12">
        <v>3</v>
      </c>
      <c r="B5" s="27" t="s">
        <v>329</v>
      </c>
      <c r="C5" s="31"/>
    </row>
    <row r="6" spans="1:18" x14ac:dyDescent="0.25">
      <c r="A6" s="71">
        <v>4</v>
      </c>
      <c r="B6" s="29" t="s">
        <v>130</v>
      </c>
      <c r="C6" s="31" t="s">
        <v>584</v>
      </c>
      <c r="D6" s="73" t="s">
        <v>130</v>
      </c>
      <c r="E6" s="74"/>
    </row>
    <row r="7" spans="1:18" x14ac:dyDescent="0.25">
      <c r="A7" s="12">
        <v>5</v>
      </c>
      <c r="B7" s="29" t="s">
        <v>131</v>
      </c>
      <c r="C7" s="31" t="s">
        <v>589</v>
      </c>
      <c r="D7" s="75">
        <v>0</v>
      </c>
      <c r="E7" s="89" t="s">
        <v>581</v>
      </c>
      <c r="F7" s="92" t="s">
        <v>131</v>
      </c>
      <c r="G7" s="74"/>
    </row>
    <row r="8" spans="1:18" x14ac:dyDescent="0.25">
      <c r="A8" s="71">
        <v>6</v>
      </c>
      <c r="B8" s="29" t="s">
        <v>121</v>
      </c>
      <c r="C8" s="85"/>
      <c r="D8" s="75">
        <v>1</v>
      </c>
      <c r="E8" s="89" t="s">
        <v>582</v>
      </c>
      <c r="F8" s="75">
        <v>0</v>
      </c>
      <c r="G8" s="76" t="s">
        <v>585</v>
      </c>
    </row>
    <row r="9" spans="1:18" x14ac:dyDescent="0.25">
      <c r="A9" s="12">
        <v>7</v>
      </c>
      <c r="B9" s="29" t="s">
        <v>124</v>
      </c>
      <c r="C9" s="85"/>
      <c r="D9" s="75">
        <v>2</v>
      </c>
      <c r="E9" s="89" t="s">
        <v>516</v>
      </c>
      <c r="F9" s="75">
        <v>1</v>
      </c>
      <c r="G9" s="76" t="s">
        <v>586</v>
      </c>
    </row>
    <row r="10" spans="1:18" ht="30" x14ac:dyDescent="0.25">
      <c r="A10" s="71">
        <v>8</v>
      </c>
      <c r="B10" s="27" t="s">
        <v>145</v>
      </c>
      <c r="C10" s="32" t="s">
        <v>593</v>
      </c>
      <c r="D10" s="77">
        <v>3</v>
      </c>
      <c r="E10" s="90" t="s">
        <v>583</v>
      </c>
      <c r="F10" s="75">
        <v>2</v>
      </c>
      <c r="G10" s="76" t="s">
        <v>513</v>
      </c>
      <c r="H10" s="86" t="s">
        <v>260</v>
      </c>
      <c r="I10" s="86" t="s">
        <v>592</v>
      </c>
      <c r="J10" s="74"/>
    </row>
    <row r="11" spans="1:18" ht="60" x14ac:dyDescent="0.25">
      <c r="A11" s="12">
        <v>9</v>
      </c>
      <c r="B11" s="27" t="s">
        <v>141</v>
      </c>
      <c r="C11" s="32" t="s">
        <v>594</v>
      </c>
      <c r="F11" s="75">
        <v>3</v>
      </c>
      <c r="G11" s="76" t="s">
        <v>506</v>
      </c>
      <c r="H11" s="77" t="s">
        <v>492</v>
      </c>
      <c r="I11" s="93" t="s">
        <v>529</v>
      </c>
      <c r="J11" s="89">
        <v>0</v>
      </c>
      <c r="K11" s="86" t="s">
        <v>141</v>
      </c>
      <c r="L11" s="74"/>
    </row>
    <row r="12" spans="1:18" x14ac:dyDescent="0.25">
      <c r="A12" s="71">
        <v>10</v>
      </c>
      <c r="B12" s="27" t="s">
        <v>142</v>
      </c>
      <c r="C12" s="32" t="s">
        <v>594</v>
      </c>
      <c r="F12" s="75">
        <v>4</v>
      </c>
      <c r="G12" s="76" t="s">
        <v>516</v>
      </c>
      <c r="I12" s="77" t="s">
        <v>528</v>
      </c>
      <c r="J12" s="90">
        <v>128</v>
      </c>
      <c r="K12" s="75">
        <v>1</v>
      </c>
      <c r="L12" s="76" t="s">
        <v>100</v>
      </c>
    </row>
    <row r="13" spans="1:18" x14ac:dyDescent="0.25">
      <c r="A13" s="12">
        <v>11</v>
      </c>
      <c r="B13" s="27" t="s">
        <v>143</v>
      </c>
      <c r="C13" s="32" t="s">
        <v>594</v>
      </c>
      <c r="F13" s="75">
        <v>5</v>
      </c>
      <c r="G13" s="76" t="s">
        <v>587</v>
      </c>
      <c r="K13" s="75">
        <v>2</v>
      </c>
      <c r="L13" s="76" t="s">
        <v>101</v>
      </c>
    </row>
    <row r="14" spans="1:18" x14ac:dyDescent="0.25">
      <c r="A14" s="71">
        <v>12</v>
      </c>
      <c r="B14" s="27" t="s">
        <v>140</v>
      </c>
      <c r="C14" s="32" t="s">
        <v>623</v>
      </c>
      <c r="F14" s="77">
        <v>6</v>
      </c>
      <c r="G14" s="78" t="s">
        <v>588</v>
      </c>
      <c r="K14" s="75">
        <v>3</v>
      </c>
      <c r="L14" s="89" t="s">
        <v>102</v>
      </c>
      <c r="M14" s="91" t="s">
        <v>605</v>
      </c>
      <c r="N14" s="97" t="s">
        <v>343</v>
      </c>
      <c r="O14" s="73" t="s">
        <v>606</v>
      </c>
      <c r="P14" s="96" t="s">
        <v>343</v>
      </c>
    </row>
    <row r="15" spans="1:18" x14ac:dyDescent="0.25">
      <c r="A15" s="12">
        <v>13</v>
      </c>
      <c r="B15" s="27" t="s">
        <v>139</v>
      </c>
      <c r="C15" s="32" t="s">
        <v>623</v>
      </c>
      <c r="K15" s="87">
        <v>4</v>
      </c>
      <c r="L15" s="89" t="s">
        <v>103</v>
      </c>
      <c r="M15" s="75" t="s">
        <v>595</v>
      </c>
      <c r="N15" s="89">
        <v>0</v>
      </c>
      <c r="O15" s="75" t="s">
        <v>595</v>
      </c>
      <c r="P15" s="76">
        <v>0</v>
      </c>
    </row>
    <row r="16" spans="1:18" s="72" customFormat="1" x14ac:dyDescent="0.25">
      <c r="A16" s="72">
        <v>14</v>
      </c>
      <c r="B16" s="27" t="s">
        <v>624</v>
      </c>
      <c r="C16" s="32" t="s">
        <v>641</v>
      </c>
      <c r="K16" s="87">
        <v>5</v>
      </c>
      <c r="L16" s="95" t="s">
        <v>104</v>
      </c>
      <c r="M16" s="87" t="s">
        <v>596</v>
      </c>
      <c r="N16" s="95">
        <v>2</v>
      </c>
      <c r="O16" s="87" t="s">
        <v>607</v>
      </c>
      <c r="P16" s="95">
        <v>2</v>
      </c>
      <c r="Q16" s="86" t="s">
        <v>624</v>
      </c>
      <c r="R16" s="96" t="s">
        <v>343</v>
      </c>
    </row>
    <row r="17" spans="1:20" s="72" customFormat="1" x14ac:dyDescent="0.25">
      <c r="A17" s="72">
        <v>15</v>
      </c>
      <c r="B17" s="27" t="s">
        <v>642</v>
      </c>
      <c r="C17" s="32" t="s">
        <v>659</v>
      </c>
      <c r="K17" s="75">
        <v>6</v>
      </c>
      <c r="L17" s="95" t="s">
        <v>105</v>
      </c>
      <c r="M17" s="87" t="s">
        <v>597</v>
      </c>
      <c r="N17" s="95">
        <v>4</v>
      </c>
      <c r="O17" s="87" t="s">
        <v>608</v>
      </c>
      <c r="P17" s="95">
        <v>4</v>
      </c>
      <c r="Q17" s="87" t="s">
        <v>595</v>
      </c>
      <c r="R17" s="95">
        <v>0</v>
      </c>
      <c r="S17" s="86" t="s">
        <v>642</v>
      </c>
      <c r="T17" s="96" t="s">
        <v>343</v>
      </c>
    </row>
    <row r="18" spans="1:20" ht="30" x14ac:dyDescent="0.25">
      <c r="A18" s="71">
        <v>16</v>
      </c>
      <c r="B18" s="29" t="s">
        <v>123</v>
      </c>
      <c r="C18" s="32" t="s">
        <v>498</v>
      </c>
      <c r="K18" s="75">
        <v>7</v>
      </c>
      <c r="L18" s="89" t="s">
        <v>106</v>
      </c>
      <c r="M18" s="75" t="s">
        <v>598</v>
      </c>
      <c r="N18" s="89">
        <v>8</v>
      </c>
      <c r="O18" s="75" t="s">
        <v>609</v>
      </c>
      <c r="P18" s="89">
        <v>8</v>
      </c>
      <c r="Q18" s="87" t="s">
        <v>625</v>
      </c>
      <c r="R18" s="95">
        <v>2</v>
      </c>
      <c r="S18" s="75" t="s">
        <v>643</v>
      </c>
      <c r="T18" s="94">
        <v>0</v>
      </c>
    </row>
    <row r="19" spans="1:20" x14ac:dyDescent="0.25">
      <c r="A19" s="12">
        <v>17</v>
      </c>
      <c r="B19" s="29" t="s">
        <v>122</v>
      </c>
      <c r="C19" s="85"/>
      <c r="K19" s="75">
        <v>8</v>
      </c>
      <c r="L19" s="89" t="s">
        <v>107</v>
      </c>
      <c r="M19" s="75" t="s">
        <v>599</v>
      </c>
      <c r="N19" s="89">
        <v>16</v>
      </c>
      <c r="O19" s="75" t="s">
        <v>610</v>
      </c>
      <c r="P19" s="89">
        <v>16</v>
      </c>
      <c r="Q19" s="75" t="s">
        <v>626</v>
      </c>
      <c r="R19" s="95">
        <v>4</v>
      </c>
      <c r="S19" s="75" t="s">
        <v>644</v>
      </c>
      <c r="T19" s="94">
        <v>2</v>
      </c>
    </row>
    <row r="20" spans="1:20" x14ac:dyDescent="0.25">
      <c r="A20" s="71">
        <v>18</v>
      </c>
      <c r="B20" s="29" t="s">
        <v>126</v>
      </c>
      <c r="C20" s="32" t="s">
        <v>661</v>
      </c>
      <c r="D20" s="73" t="s">
        <v>126</v>
      </c>
      <c r="E20" s="74"/>
      <c r="K20" s="75">
        <v>9</v>
      </c>
      <c r="L20" s="89" t="s">
        <v>108</v>
      </c>
      <c r="M20" s="75" t="s">
        <v>600</v>
      </c>
      <c r="N20" s="89">
        <v>32</v>
      </c>
      <c r="O20" s="75" t="s">
        <v>611</v>
      </c>
      <c r="P20" s="89">
        <v>32</v>
      </c>
      <c r="Q20" s="75" t="s">
        <v>627</v>
      </c>
      <c r="R20" s="89">
        <v>8</v>
      </c>
      <c r="S20" s="75" t="s">
        <v>645</v>
      </c>
      <c r="T20" s="94">
        <v>4</v>
      </c>
    </row>
    <row r="21" spans="1:20" x14ac:dyDescent="0.25">
      <c r="A21" s="12">
        <v>19</v>
      </c>
      <c r="B21" s="29" t="s">
        <v>125</v>
      </c>
      <c r="C21" s="32" t="s">
        <v>665</v>
      </c>
      <c r="D21" s="75">
        <v>1</v>
      </c>
      <c r="E21" s="89" t="s">
        <v>379</v>
      </c>
      <c r="F21" s="73" t="s">
        <v>125</v>
      </c>
      <c r="G21" s="74"/>
      <c r="K21" s="77">
        <v>10</v>
      </c>
      <c r="L21" s="90" t="s">
        <v>109</v>
      </c>
      <c r="M21" s="75" t="s">
        <v>601</v>
      </c>
      <c r="N21" s="89">
        <v>64</v>
      </c>
      <c r="O21" s="75" t="s">
        <v>612</v>
      </c>
      <c r="P21" s="89">
        <v>64</v>
      </c>
      <c r="Q21" s="75" t="s">
        <v>628</v>
      </c>
      <c r="R21" s="89">
        <v>16</v>
      </c>
      <c r="S21" s="75" t="s">
        <v>646</v>
      </c>
      <c r="T21" s="76">
        <v>8</v>
      </c>
    </row>
    <row r="22" spans="1:20" x14ac:dyDescent="0.25">
      <c r="A22" s="71">
        <v>20</v>
      </c>
      <c r="B22" s="27" t="s">
        <v>666</v>
      </c>
      <c r="C22" s="32" t="s">
        <v>673</v>
      </c>
      <c r="D22" s="75">
        <v>2</v>
      </c>
      <c r="E22" s="89" t="s">
        <v>378</v>
      </c>
      <c r="F22" s="75">
        <v>1</v>
      </c>
      <c r="G22" s="89" t="s">
        <v>662</v>
      </c>
      <c r="H22" s="73" t="s">
        <v>666</v>
      </c>
      <c r="I22" s="74"/>
      <c r="M22" s="75" t="s">
        <v>602</v>
      </c>
      <c r="N22" s="89">
        <v>128</v>
      </c>
      <c r="O22" s="75" t="s">
        <v>613</v>
      </c>
      <c r="P22" s="89">
        <v>128</v>
      </c>
      <c r="Q22" s="75" t="s">
        <v>629</v>
      </c>
      <c r="R22" s="89">
        <v>32</v>
      </c>
      <c r="S22" s="75" t="s">
        <v>722</v>
      </c>
      <c r="T22" s="76">
        <v>16</v>
      </c>
    </row>
    <row r="23" spans="1:20" x14ac:dyDescent="0.25">
      <c r="A23" s="12">
        <v>21</v>
      </c>
      <c r="B23" s="27" t="s">
        <v>674</v>
      </c>
      <c r="C23" s="32" t="s">
        <v>677</v>
      </c>
      <c r="D23" s="77">
        <v>3</v>
      </c>
      <c r="E23" s="90" t="s">
        <v>660</v>
      </c>
      <c r="F23" s="75">
        <v>2</v>
      </c>
      <c r="G23" s="89" t="s">
        <v>125</v>
      </c>
      <c r="H23" s="75">
        <v>1</v>
      </c>
      <c r="I23" s="76" t="s">
        <v>548</v>
      </c>
      <c r="J23" s="73" t="s">
        <v>674</v>
      </c>
      <c r="K23" s="74"/>
      <c r="M23" s="75" t="s">
        <v>603</v>
      </c>
      <c r="N23" s="89">
        <v>256</v>
      </c>
      <c r="O23" s="75" t="s">
        <v>614</v>
      </c>
      <c r="P23" s="89">
        <v>256</v>
      </c>
      <c r="Q23" s="75" t="s">
        <v>630</v>
      </c>
      <c r="R23" s="89">
        <v>64</v>
      </c>
      <c r="S23" s="75" t="s">
        <v>647</v>
      </c>
      <c r="T23" s="76">
        <v>32</v>
      </c>
    </row>
    <row r="24" spans="1:20" x14ac:dyDescent="0.25">
      <c r="A24" s="71">
        <v>22</v>
      </c>
      <c r="B24" s="29" t="s">
        <v>118</v>
      </c>
      <c r="C24" s="32" t="s">
        <v>117</v>
      </c>
      <c r="F24" s="75">
        <v>3</v>
      </c>
      <c r="G24" s="89" t="s">
        <v>548</v>
      </c>
      <c r="H24" s="75">
        <v>2</v>
      </c>
      <c r="I24" s="76" t="s">
        <v>667</v>
      </c>
      <c r="J24" s="75">
        <v>1</v>
      </c>
      <c r="K24" s="76" t="s">
        <v>548</v>
      </c>
      <c r="M24" s="77" t="s">
        <v>604</v>
      </c>
      <c r="N24" s="90">
        <v>512</v>
      </c>
      <c r="O24" s="75" t="s">
        <v>615</v>
      </c>
      <c r="P24" s="89">
        <v>512</v>
      </c>
      <c r="Q24" s="75" t="s">
        <v>631</v>
      </c>
      <c r="R24" s="89">
        <v>128</v>
      </c>
      <c r="S24" s="75" t="s">
        <v>648</v>
      </c>
      <c r="T24" s="76">
        <v>64</v>
      </c>
    </row>
    <row r="25" spans="1:20" s="72" customFormat="1" x14ac:dyDescent="0.25">
      <c r="A25" s="72">
        <v>23</v>
      </c>
      <c r="B25" s="27" t="s">
        <v>329</v>
      </c>
      <c r="C25" s="85"/>
      <c r="F25" s="87">
        <v>4</v>
      </c>
      <c r="G25" s="95" t="s">
        <v>663</v>
      </c>
      <c r="H25" s="87">
        <v>3</v>
      </c>
      <c r="I25" s="94" t="s">
        <v>668</v>
      </c>
      <c r="J25" s="87">
        <v>2</v>
      </c>
      <c r="K25" s="94" t="s">
        <v>675</v>
      </c>
      <c r="O25" s="87" t="s">
        <v>616</v>
      </c>
      <c r="P25" s="95">
        <v>1024</v>
      </c>
      <c r="Q25" s="75" t="s">
        <v>632</v>
      </c>
      <c r="R25" s="89">
        <v>256</v>
      </c>
      <c r="S25" s="87" t="s">
        <v>649</v>
      </c>
      <c r="T25" s="76">
        <v>128</v>
      </c>
    </row>
    <row r="26" spans="1:20" ht="30" x14ac:dyDescent="0.25">
      <c r="A26" s="72">
        <v>24</v>
      </c>
      <c r="B26" s="27" t="s">
        <v>128</v>
      </c>
      <c r="C26" s="32" t="s">
        <v>678</v>
      </c>
      <c r="F26" s="75">
        <v>5</v>
      </c>
      <c r="G26" s="89" t="s">
        <v>664</v>
      </c>
      <c r="H26" s="75">
        <v>4</v>
      </c>
      <c r="I26" s="76" t="s">
        <v>669</v>
      </c>
      <c r="J26" s="77">
        <v>3</v>
      </c>
      <c r="K26" s="78" t="s">
        <v>676</v>
      </c>
      <c r="O26" s="75" t="s">
        <v>617</v>
      </c>
      <c r="P26" s="89">
        <v>2048</v>
      </c>
      <c r="Q26" s="87" t="s">
        <v>633</v>
      </c>
      <c r="R26" s="89">
        <v>512</v>
      </c>
      <c r="S26" s="75" t="s">
        <v>650</v>
      </c>
      <c r="T26" s="76">
        <v>256</v>
      </c>
    </row>
    <row r="27" spans="1:20" ht="30" x14ac:dyDescent="0.25">
      <c r="A27" s="12">
        <v>25</v>
      </c>
      <c r="B27" s="27" t="s">
        <v>679</v>
      </c>
      <c r="C27" s="32" t="s">
        <v>683</v>
      </c>
      <c r="D27" s="73" t="s">
        <v>726</v>
      </c>
      <c r="E27" s="98" t="s">
        <v>343</v>
      </c>
      <c r="F27" s="97"/>
      <c r="G27" s="99"/>
      <c r="H27" s="75">
        <v>5</v>
      </c>
      <c r="I27" s="76" t="s">
        <v>670</v>
      </c>
      <c r="O27" s="75" t="s">
        <v>618</v>
      </c>
      <c r="P27" s="89">
        <v>4096</v>
      </c>
      <c r="Q27" s="75" t="s">
        <v>634</v>
      </c>
      <c r="R27" s="95">
        <v>1024</v>
      </c>
      <c r="S27" s="75" t="s">
        <v>651</v>
      </c>
      <c r="T27" s="76">
        <v>512</v>
      </c>
    </row>
    <row r="28" spans="1:20" ht="30" x14ac:dyDescent="0.25">
      <c r="A28" s="71">
        <v>26</v>
      </c>
      <c r="B28" s="27" t="s">
        <v>329</v>
      </c>
      <c r="C28" s="85"/>
      <c r="D28" s="75" t="s">
        <v>681</v>
      </c>
      <c r="E28" s="76">
        <v>0</v>
      </c>
      <c r="G28" s="89"/>
      <c r="H28" s="75">
        <v>6</v>
      </c>
      <c r="I28" s="76" t="s">
        <v>671</v>
      </c>
      <c r="O28" s="75" t="s">
        <v>619</v>
      </c>
      <c r="P28" s="89">
        <v>8192</v>
      </c>
      <c r="Q28" s="75" t="s">
        <v>635</v>
      </c>
      <c r="R28" s="89">
        <v>2048</v>
      </c>
      <c r="S28" s="75" t="s">
        <v>652</v>
      </c>
      <c r="T28" s="94">
        <v>1024</v>
      </c>
    </row>
    <row r="29" spans="1:20" x14ac:dyDescent="0.25">
      <c r="A29" s="12">
        <v>27</v>
      </c>
      <c r="B29" s="27" t="s">
        <v>329</v>
      </c>
      <c r="C29" s="85"/>
      <c r="D29" s="75" t="s">
        <v>682</v>
      </c>
      <c r="E29" s="76">
        <v>1</v>
      </c>
      <c r="H29" s="77">
        <v>7</v>
      </c>
      <c r="I29" s="78" t="s">
        <v>672</v>
      </c>
      <c r="O29" s="75" t="s">
        <v>620</v>
      </c>
      <c r="P29" s="89">
        <v>16384</v>
      </c>
      <c r="Q29" s="75" t="s">
        <v>636</v>
      </c>
      <c r="R29" s="89">
        <v>4096</v>
      </c>
      <c r="S29" s="75" t="s">
        <v>653</v>
      </c>
      <c r="T29" s="76">
        <v>2048</v>
      </c>
    </row>
    <row r="30" spans="1:20" ht="30" x14ac:dyDescent="0.25">
      <c r="A30" s="71">
        <v>28</v>
      </c>
      <c r="B30" s="27" t="s">
        <v>129</v>
      </c>
      <c r="C30" s="32" t="s">
        <v>498</v>
      </c>
      <c r="D30" s="77" t="s">
        <v>680</v>
      </c>
      <c r="E30" s="78">
        <v>2</v>
      </c>
      <c r="O30" s="75" t="s">
        <v>621</v>
      </c>
      <c r="P30" s="89">
        <v>32768</v>
      </c>
      <c r="Q30" s="75" t="s">
        <v>637</v>
      </c>
      <c r="R30" s="89">
        <v>8192</v>
      </c>
      <c r="S30" s="75" t="s">
        <v>654</v>
      </c>
      <c r="T30" s="76">
        <v>4096</v>
      </c>
    </row>
    <row r="31" spans="1:20" x14ac:dyDescent="0.25">
      <c r="A31" s="12">
        <v>29</v>
      </c>
      <c r="B31" s="29" t="s">
        <v>127</v>
      </c>
      <c r="C31" s="85"/>
      <c r="D31" s="100" t="s">
        <v>684</v>
      </c>
      <c r="E31" s="89"/>
      <c r="F31" s="73" t="s">
        <v>685</v>
      </c>
      <c r="G31" s="98" t="s">
        <v>343</v>
      </c>
      <c r="O31" s="77" t="s">
        <v>622</v>
      </c>
      <c r="P31" s="90">
        <v>65536</v>
      </c>
      <c r="Q31" s="75" t="s">
        <v>638</v>
      </c>
      <c r="R31" s="89">
        <v>16384</v>
      </c>
      <c r="S31" s="75" t="s">
        <v>655</v>
      </c>
      <c r="T31" s="76">
        <v>8192</v>
      </c>
    </row>
    <row r="32" spans="1:20" x14ac:dyDescent="0.25">
      <c r="A32" s="71">
        <v>30</v>
      </c>
      <c r="B32" s="29" t="s">
        <v>694</v>
      </c>
      <c r="C32" s="32" t="s">
        <v>693</v>
      </c>
      <c r="D32" s="75">
        <v>0</v>
      </c>
      <c r="E32" s="89" t="s">
        <v>686</v>
      </c>
      <c r="F32" s="75" t="s">
        <v>428</v>
      </c>
      <c r="G32" s="76">
        <v>0</v>
      </c>
      <c r="Q32" s="75" t="s">
        <v>639</v>
      </c>
      <c r="R32" s="89">
        <v>32768</v>
      </c>
      <c r="S32" s="75" t="s">
        <v>656</v>
      </c>
      <c r="T32" s="76">
        <v>16384</v>
      </c>
    </row>
    <row r="33" spans="1:20" x14ac:dyDescent="0.25">
      <c r="A33" s="12">
        <v>31</v>
      </c>
      <c r="B33" s="27" t="s">
        <v>329</v>
      </c>
      <c r="C33" s="85"/>
      <c r="D33" s="75">
        <v>65536</v>
      </c>
      <c r="E33" s="89" t="s">
        <v>687</v>
      </c>
      <c r="F33" s="75" t="s">
        <v>690</v>
      </c>
      <c r="G33" s="76">
        <v>1</v>
      </c>
      <c r="Q33" s="77" t="s">
        <v>640</v>
      </c>
      <c r="R33" s="90">
        <v>65536</v>
      </c>
      <c r="S33" s="75" t="s">
        <v>657</v>
      </c>
      <c r="T33" s="76">
        <v>32768</v>
      </c>
    </row>
    <row r="34" spans="1:20" x14ac:dyDescent="0.25">
      <c r="A34" s="71">
        <v>32</v>
      </c>
      <c r="B34" s="27" t="s">
        <v>329</v>
      </c>
      <c r="C34" s="85"/>
      <c r="D34" s="75">
        <v>131072</v>
      </c>
      <c r="E34" s="89" t="s">
        <v>688</v>
      </c>
      <c r="F34" s="75" t="s">
        <v>685</v>
      </c>
      <c r="G34" s="76">
        <v>2</v>
      </c>
      <c r="S34" s="77" t="s">
        <v>658</v>
      </c>
      <c r="T34" s="78">
        <v>65536</v>
      </c>
    </row>
    <row r="35" spans="1:20" x14ac:dyDescent="0.25">
      <c r="A35" s="12">
        <v>33</v>
      </c>
      <c r="B35" s="27" t="s">
        <v>329</v>
      </c>
      <c r="C35" s="85"/>
      <c r="D35" s="77">
        <v>196608</v>
      </c>
      <c r="E35" s="90" t="s">
        <v>689</v>
      </c>
      <c r="F35" s="75" t="s">
        <v>691</v>
      </c>
      <c r="G35" s="76">
        <v>4</v>
      </c>
    </row>
    <row r="36" spans="1:20" x14ac:dyDescent="0.25">
      <c r="A36" s="71">
        <v>34</v>
      </c>
      <c r="B36" s="79" t="s">
        <v>114</v>
      </c>
      <c r="F36" s="77" t="s">
        <v>692</v>
      </c>
      <c r="G36" s="78">
        <v>8</v>
      </c>
    </row>
    <row r="37" spans="1:20" ht="30" x14ac:dyDescent="0.25">
      <c r="A37" s="12">
        <v>35</v>
      </c>
      <c r="B37" s="82" t="s">
        <v>590</v>
      </c>
      <c r="C37" s="32" t="s">
        <v>678</v>
      </c>
    </row>
    <row r="38" spans="1:20" ht="30" x14ac:dyDescent="0.25">
      <c r="A38" s="12">
        <v>36</v>
      </c>
      <c r="B38" s="82" t="s">
        <v>591</v>
      </c>
      <c r="C38" s="68" t="s">
        <v>555</v>
      </c>
    </row>
    <row r="39" spans="1:20" x14ac:dyDescent="0.25">
      <c r="A39" s="71"/>
      <c r="B39" s="79"/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8"/>
  <dimension ref="A1:C22"/>
  <sheetViews>
    <sheetView workbookViewId="0">
      <selection activeCell="C7" sqref="C7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53</v>
      </c>
    </row>
    <row r="3" spans="1:3" x14ac:dyDescent="0.25">
      <c r="A3" s="20">
        <v>1</v>
      </c>
      <c r="B3" s="42" t="s">
        <v>370</v>
      </c>
    </row>
    <row r="4" spans="1:3" x14ac:dyDescent="0.25">
      <c r="A4" s="40">
        <v>2</v>
      </c>
      <c r="B4" s="42" t="s">
        <v>329</v>
      </c>
    </row>
    <row r="5" spans="1:3" x14ac:dyDescent="0.25">
      <c r="A5" s="40">
        <v>3</v>
      </c>
      <c r="B5" s="42" t="s">
        <v>329</v>
      </c>
    </row>
    <row r="6" spans="1:3" x14ac:dyDescent="0.25">
      <c r="A6" s="40">
        <v>4</v>
      </c>
      <c r="B6" s="42" t="s">
        <v>329</v>
      </c>
    </row>
    <row r="7" spans="1:3" x14ac:dyDescent="0.25">
      <c r="A7" s="40">
        <v>5</v>
      </c>
      <c r="B7" s="42" t="s">
        <v>329</v>
      </c>
    </row>
    <row r="8" spans="1:3" x14ac:dyDescent="0.25">
      <c r="A8" s="40">
        <v>6</v>
      </c>
      <c r="B8" s="42" t="s">
        <v>329</v>
      </c>
    </row>
    <row r="9" spans="1:3" x14ac:dyDescent="0.25">
      <c r="A9" s="40">
        <v>7</v>
      </c>
      <c r="B9" s="42" t="s">
        <v>329</v>
      </c>
    </row>
    <row r="10" spans="1:3" x14ac:dyDescent="0.25">
      <c r="A10" s="40">
        <v>8</v>
      </c>
      <c r="B10" s="42" t="s">
        <v>329</v>
      </c>
    </row>
    <row r="11" spans="1:3" x14ac:dyDescent="0.25">
      <c r="A11" s="40">
        <v>9</v>
      </c>
      <c r="B11" s="42" t="s">
        <v>329</v>
      </c>
    </row>
    <row r="12" spans="1:3" x14ac:dyDescent="0.25">
      <c r="A12" s="40">
        <v>10</v>
      </c>
      <c r="B12" s="42" t="s">
        <v>329</v>
      </c>
    </row>
    <row r="13" spans="1:3" x14ac:dyDescent="0.25">
      <c r="A13" s="40">
        <v>11</v>
      </c>
      <c r="B13" s="42" t="s">
        <v>329</v>
      </c>
    </row>
    <row r="14" spans="1:3" x14ac:dyDescent="0.25">
      <c r="A14" s="40">
        <v>12</v>
      </c>
      <c r="B14" s="42" t="s">
        <v>329</v>
      </c>
    </row>
    <row r="15" spans="1:3" x14ac:dyDescent="0.25">
      <c r="A15" s="40">
        <v>13</v>
      </c>
      <c r="B15" s="42" t="s">
        <v>329</v>
      </c>
    </row>
    <row r="16" spans="1:3" x14ac:dyDescent="0.25">
      <c r="A16" s="40">
        <v>14</v>
      </c>
      <c r="B16" s="42" t="s">
        <v>329</v>
      </c>
    </row>
    <row r="17" spans="1:2" x14ac:dyDescent="0.25">
      <c r="A17" s="40">
        <v>15</v>
      </c>
      <c r="B17" s="42" t="s">
        <v>329</v>
      </c>
    </row>
    <row r="18" spans="1:2" x14ac:dyDescent="0.25">
      <c r="A18" s="40">
        <v>16</v>
      </c>
      <c r="B18" s="42" t="s">
        <v>329</v>
      </c>
    </row>
    <row r="19" spans="1:2" x14ac:dyDescent="0.25">
      <c r="A19" s="40">
        <v>17</v>
      </c>
      <c r="B19" s="43" t="s">
        <v>371</v>
      </c>
    </row>
    <row r="20" spans="1:2" x14ac:dyDescent="0.25">
      <c r="A20" s="40">
        <v>18</v>
      </c>
      <c r="B20" s="42" t="s">
        <v>329</v>
      </c>
    </row>
    <row r="21" spans="1:2" x14ac:dyDescent="0.25">
      <c r="A21" s="40">
        <v>19</v>
      </c>
      <c r="B21" s="42" t="s">
        <v>329</v>
      </c>
    </row>
    <row r="22" spans="1:2" x14ac:dyDescent="0.25">
      <c r="A22" s="40">
        <v>20</v>
      </c>
      <c r="B22" s="22" t="s">
        <v>369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0"/>
  <dimension ref="A1:K42"/>
  <sheetViews>
    <sheetView topLeftCell="A28" workbookViewId="0">
      <selection activeCell="C35" sqref="C35:C38"/>
    </sheetView>
  </sheetViews>
  <sheetFormatPr defaultColWidth="9.140625" defaultRowHeight="15" x14ac:dyDescent="0.25"/>
  <cols>
    <col min="1" max="1" width="9.140625" style="25"/>
    <col min="2" max="2" width="37" style="25" bestFit="1" customWidth="1"/>
    <col min="3" max="3" width="20.42578125" style="55" bestFit="1" customWidth="1"/>
    <col min="4" max="4" width="12.28515625" style="25" bestFit="1" customWidth="1"/>
    <col min="5" max="5" width="15.42578125" style="25" bestFit="1" customWidth="1"/>
    <col min="6" max="6" width="21.140625" style="25" bestFit="1" customWidth="1"/>
    <col min="7" max="7" width="9.140625" style="25"/>
    <col min="8" max="8" width="12" style="25" customWidth="1"/>
    <col min="9" max="9" width="11.140625" style="25" bestFit="1" customWidth="1"/>
    <col min="10" max="10" width="21" style="25" bestFit="1" customWidth="1"/>
    <col min="11" max="11" width="6.85546875" style="25" bestFit="1" customWidth="1"/>
    <col min="12" max="16384" width="9.140625" style="25"/>
  </cols>
  <sheetData>
    <row r="1" spans="1:7" x14ac:dyDescent="0.25">
      <c r="A1" s="24" t="s">
        <v>144</v>
      </c>
      <c r="B1" s="24" t="s">
        <v>116</v>
      </c>
      <c r="C1" s="54" t="s">
        <v>115</v>
      </c>
    </row>
    <row r="2" spans="1:7" x14ac:dyDescent="0.25">
      <c r="A2" s="25">
        <v>0</v>
      </c>
      <c r="B2" s="24" t="s">
        <v>55</v>
      </c>
    </row>
    <row r="3" spans="1:7" x14ac:dyDescent="0.25">
      <c r="A3" s="25">
        <v>1</v>
      </c>
      <c r="B3" s="44" t="s">
        <v>373</v>
      </c>
    </row>
    <row r="4" spans="1:7" x14ac:dyDescent="0.25">
      <c r="A4" s="25">
        <v>2</v>
      </c>
      <c r="B4" s="44" t="s">
        <v>374</v>
      </c>
    </row>
    <row r="5" spans="1:7" x14ac:dyDescent="0.25">
      <c r="A5" s="25">
        <v>3</v>
      </c>
      <c r="B5" s="44" t="s">
        <v>421</v>
      </c>
      <c r="C5" s="55" t="s">
        <v>431</v>
      </c>
      <c r="D5" s="45" t="s">
        <v>421</v>
      </c>
      <c r="E5" s="46"/>
    </row>
    <row r="6" spans="1:7" ht="30" x14ac:dyDescent="0.25">
      <c r="A6" s="25">
        <v>4</v>
      </c>
      <c r="B6" s="44" t="s">
        <v>394</v>
      </c>
      <c r="C6" s="56" t="s">
        <v>498</v>
      </c>
      <c r="D6" s="47">
        <v>0</v>
      </c>
      <c r="E6" s="48" t="s">
        <v>424</v>
      </c>
    </row>
    <row r="7" spans="1:7" x14ac:dyDescent="0.25">
      <c r="A7" s="25">
        <v>5</v>
      </c>
      <c r="B7" s="28" t="s">
        <v>329</v>
      </c>
      <c r="C7" s="55" t="s">
        <v>430</v>
      </c>
      <c r="D7" s="47">
        <v>1</v>
      </c>
      <c r="E7" s="48" t="s">
        <v>423</v>
      </c>
    </row>
    <row r="8" spans="1:7" x14ac:dyDescent="0.25">
      <c r="A8" s="25">
        <v>6</v>
      </c>
      <c r="B8" s="28" t="s">
        <v>329</v>
      </c>
      <c r="C8" s="55" t="s">
        <v>430</v>
      </c>
      <c r="D8" s="47">
        <v>2</v>
      </c>
      <c r="E8" s="48" t="s">
        <v>425</v>
      </c>
    </row>
    <row r="9" spans="1:7" ht="30" x14ac:dyDescent="0.25">
      <c r="A9" s="25">
        <v>7</v>
      </c>
      <c r="B9" s="28" t="s">
        <v>381</v>
      </c>
      <c r="C9" s="56" t="s">
        <v>498</v>
      </c>
      <c r="D9" s="47">
        <v>3</v>
      </c>
      <c r="E9" s="48" t="s">
        <v>426</v>
      </c>
    </row>
    <row r="10" spans="1:7" x14ac:dyDescent="0.25">
      <c r="A10" s="25">
        <v>8</v>
      </c>
      <c r="B10" s="28" t="s">
        <v>375</v>
      </c>
      <c r="C10" s="55" t="s">
        <v>431</v>
      </c>
      <c r="D10" s="49">
        <v>4</v>
      </c>
      <c r="E10" s="51" t="s">
        <v>422</v>
      </c>
      <c r="F10" s="45" t="s">
        <v>427</v>
      </c>
      <c r="G10" s="46"/>
    </row>
    <row r="11" spans="1:7" x14ac:dyDescent="0.25">
      <c r="A11" s="25">
        <v>9</v>
      </c>
      <c r="B11" s="28" t="s">
        <v>398</v>
      </c>
      <c r="C11" s="55" t="s">
        <v>431</v>
      </c>
      <c r="F11" s="47">
        <v>0</v>
      </c>
      <c r="G11" s="48" t="s">
        <v>376</v>
      </c>
    </row>
    <row r="12" spans="1:7" ht="30" x14ac:dyDescent="0.25">
      <c r="A12" s="25">
        <v>10</v>
      </c>
      <c r="B12" s="28" t="s">
        <v>393</v>
      </c>
      <c r="C12" s="56" t="s">
        <v>498</v>
      </c>
      <c r="F12" s="47">
        <v>1</v>
      </c>
      <c r="G12" s="48" t="s">
        <v>377</v>
      </c>
    </row>
    <row r="13" spans="1:7" ht="30" x14ac:dyDescent="0.25">
      <c r="A13" s="25">
        <v>11</v>
      </c>
      <c r="B13" s="28" t="s">
        <v>392</v>
      </c>
      <c r="C13" s="56" t="s">
        <v>498</v>
      </c>
      <c r="F13" s="47">
        <v>2</v>
      </c>
      <c r="G13" s="48" t="s">
        <v>378</v>
      </c>
    </row>
    <row r="14" spans="1:7" ht="30" x14ac:dyDescent="0.25">
      <c r="A14" s="25">
        <v>12</v>
      </c>
      <c r="B14" s="28" t="s">
        <v>399</v>
      </c>
      <c r="C14" s="56" t="s">
        <v>498</v>
      </c>
      <c r="F14" s="49">
        <v>3</v>
      </c>
      <c r="G14" s="50" t="s">
        <v>379</v>
      </c>
    </row>
    <row r="15" spans="1:7" ht="30" x14ac:dyDescent="0.25">
      <c r="A15" s="25">
        <v>13</v>
      </c>
      <c r="B15" s="28" t="s">
        <v>395</v>
      </c>
      <c r="C15" s="56" t="s">
        <v>498</v>
      </c>
    </row>
    <row r="16" spans="1:7" x14ac:dyDescent="0.25">
      <c r="A16" s="25">
        <v>14</v>
      </c>
      <c r="B16" s="28" t="s">
        <v>387</v>
      </c>
    </row>
    <row r="17" spans="1:11" x14ac:dyDescent="0.25">
      <c r="A17" s="25">
        <v>15</v>
      </c>
      <c r="B17" s="28" t="s">
        <v>386</v>
      </c>
    </row>
    <row r="18" spans="1:11" x14ac:dyDescent="0.25">
      <c r="A18" s="25">
        <v>16</v>
      </c>
      <c r="B18" s="28" t="s">
        <v>389</v>
      </c>
    </row>
    <row r="19" spans="1:11" x14ac:dyDescent="0.25">
      <c r="A19" s="25">
        <v>17</v>
      </c>
      <c r="B19" s="28" t="s">
        <v>400</v>
      </c>
      <c r="C19" s="55" t="s">
        <v>431</v>
      </c>
      <c r="H19" s="45" t="s">
        <v>401</v>
      </c>
      <c r="I19" s="46"/>
    </row>
    <row r="20" spans="1:11" x14ac:dyDescent="0.25">
      <c r="A20" s="25">
        <v>18</v>
      </c>
      <c r="B20" s="28" t="s">
        <v>390</v>
      </c>
      <c r="H20" s="47">
        <v>1</v>
      </c>
      <c r="I20" s="48" t="s">
        <v>402</v>
      </c>
    </row>
    <row r="21" spans="1:11" x14ac:dyDescent="0.25">
      <c r="A21" s="25">
        <v>19</v>
      </c>
      <c r="B21" s="28" t="s">
        <v>385</v>
      </c>
      <c r="H21" s="47">
        <v>2</v>
      </c>
      <c r="I21" s="48" t="s">
        <v>403</v>
      </c>
    </row>
    <row r="22" spans="1:11" x14ac:dyDescent="0.25">
      <c r="A22" s="25">
        <v>20</v>
      </c>
      <c r="B22" s="28" t="s">
        <v>410</v>
      </c>
      <c r="H22" s="47">
        <v>3</v>
      </c>
      <c r="I22" s="48" t="s">
        <v>404</v>
      </c>
    </row>
    <row r="23" spans="1:11" x14ac:dyDescent="0.25">
      <c r="A23" s="25">
        <v>21</v>
      </c>
      <c r="B23" s="28" t="s">
        <v>409</v>
      </c>
      <c r="C23" s="55" t="s">
        <v>431</v>
      </c>
      <c r="H23" s="47">
        <v>4</v>
      </c>
      <c r="I23" s="48" t="s">
        <v>405</v>
      </c>
    </row>
    <row r="24" spans="1:11" x14ac:dyDescent="0.25">
      <c r="A24" s="25">
        <v>22</v>
      </c>
      <c r="B24" s="28" t="s">
        <v>397</v>
      </c>
      <c r="H24" s="47">
        <v>5</v>
      </c>
      <c r="I24" s="48" t="s">
        <v>406</v>
      </c>
    </row>
    <row r="25" spans="1:11" x14ac:dyDescent="0.25">
      <c r="A25" s="25">
        <v>23</v>
      </c>
      <c r="B25" s="28" t="s">
        <v>384</v>
      </c>
      <c r="H25" s="47">
        <v>6</v>
      </c>
      <c r="I25" s="48" t="s">
        <v>407</v>
      </c>
    </row>
    <row r="26" spans="1:11" x14ac:dyDescent="0.25">
      <c r="A26" s="25">
        <v>24</v>
      </c>
      <c r="B26" s="28" t="s">
        <v>411</v>
      </c>
      <c r="H26" s="49">
        <v>7</v>
      </c>
      <c r="I26" s="50" t="s">
        <v>408</v>
      </c>
    </row>
    <row r="27" spans="1:11" x14ac:dyDescent="0.25">
      <c r="A27" s="25">
        <v>25</v>
      </c>
      <c r="B27" s="28" t="s">
        <v>412</v>
      </c>
      <c r="C27" s="55" t="s">
        <v>431</v>
      </c>
    </row>
    <row r="28" spans="1:11" x14ac:dyDescent="0.25">
      <c r="A28" s="25">
        <v>26</v>
      </c>
      <c r="B28" s="28" t="s">
        <v>383</v>
      </c>
    </row>
    <row r="29" spans="1:11" x14ac:dyDescent="0.25">
      <c r="A29" s="25">
        <v>27</v>
      </c>
      <c r="B29" s="28" t="s">
        <v>382</v>
      </c>
    </row>
    <row r="30" spans="1:11" x14ac:dyDescent="0.25">
      <c r="A30" s="25">
        <v>28</v>
      </c>
      <c r="B30" s="28" t="s">
        <v>380</v>
      </c>
    </row>
    <row r="31" spans="1:11" x14ac:dyDescent="0.25">
      <c r="A31" s="25">
        <v>29</v>
      </c>
      <c r="B31" s="28" t="s">
        <v>413</v>
      </c>
      <c r="C31" s="55" t="s">
        <v>431</v>
      </c>
    </row>
    <row r="32" spans="1:11" x14ac:dyDescent="0.25">
      <c r="A32" s="25">
        <v>30</v>
      </c>
      <c r="B32" s="28" t="s">
        <v>414</v>
      </c>
      <c r="C32" s="55" t="s">
        <v>431</v>
      </c>
      <c r="J32" s="45" t="s">
        <v>429</v>
      </c>
      <c r="K32" s="52"/>
    </row>
    <row r="33" spans="1:11" ht="30" x14ac:dyDescent="0.25">
      <c r="A33" s="25">
        <v>31</v>
      </c>
      <c r="B33" s="28" t="s">
        <v>415</v>
      </c>
      <c r="C33" s="56" t="s">
        <v>498</v>
      </c>
      <c r="J33" s="53" t="s">
        <v>719</v>
      </c>
      <c r="K33" s="48"/>
    </row>
    <row r="34" spans="1:11" x14ac:dyDescent="0.25">
      <c r="A34" s="25">
        <v>32</v>
      </c>
      <c r="B34" s="28" t="s">
        <v>396</v>
      </c>
      <c r="C34" s="55" t="s">
        <v>431</v>
      </c>
      <c r="J34" s="47">
        <v>0</v>
      </c>
      <c r="K34" s="48" t="s">
        <v>428</v>
      </c>
    </row>
    <row r="35" spans="1:11" ht="30" x14ac:dyDescent="0.25">
      <c r="A35" s="25">
        <v>33</v>
      </c>
      <c r="B35" s="28" t="s">
        <v>391</v>
      </c>
      <c r="C35" s="56" t="s">
        <v>498</v>
      </c>
      <c r="J35" s="47">
        <v>1</v>
      </c>
      <c r="K35" s="48" t="s">
        <v>376</v>
      </c>
    </row>
    <row r="36" spans="1:11" ht="30" x14ac:dyDescent="0.25">
      <c r="A36" s="25">
        <v>34</v>
      </c>
      <c r="B36" s="28" t="s">
        <v>388</v>
      </c>
      <c r="C36" s="56" t="s">
        <v>498</v>
      </c>
      <c r="J36" s="47">
        <v>2</v>
      </c>
      <c r="K36" s="48" t="s">
        <v>377</v>
      </c>
    </row>
    <row r="37" spans="1:11" ht="30" x14ac:dyDescent="0.25">
      <c r="A37" s="25">
        <v>35</v>
      </c>
      <c r="B37" s="28" t="s">
        <v>416</v>
      </c>
      <c r="C37" s="56" t="s">
        <v>498</v>
      </c>
      <c r="J37" s="47">
        <v>4</v>
      </c>
      <c r="K37" s="48" t="s">
        <v>378</v>
      </c>
    </row>
    <row r="38" spans="1:11" ht="30" x14ac:dyDescent="0.25">
      <c r="A38" s="25">
        <v>36</v>
      </c>
      <c r="B38" s="28" t="s">
        <v>417</v>
      </c>
      <c r="C38" s="56" t="s">
        <v>498</v>
      </c>
      <c r="J38" s="49">
        <v>8</v>
      </c>
      <c r="K38" s="50" t="s">
        <v>379</v>
      </c>
    </row>
    <row r="39" spans="1:11" ht="30" x14ac:dyDescent="0.25">
      <c r="A39" s="25">
        <v>37</v>
      </c>
      <c r="B39" s="28" t="s">
        <v>418</v>
      </c>
      <c r="C39" s="56" t="s">
        <v>498</v>
      </c>
    </row>
    <row r="40" spans="1:11" ht="30" x14ac:dyDescent="0.25">
      <c r="A40" s="25">
        <v>38</v>
      </c>
      <c r="B40" s="28" t="s">
        <v>419</v>
      </c>
      <c r="C40" s="56" t="s">
        <v>498</v>
      </c>
    </row>
    <row r="41" spans="1:11" ht="30" x14ac:dyDescent="0.25">
      <c r="A41" s="25">
        <v>39</v>
      </c>
      <c r="B41" s="28" t="s">
        <v>420</v>
      </c>
      <c r="C41" s="56" t="s">
        <v>498</v>
      </c>
    </row>
    <row r="42" spans="1:11" x14ac:dyDescent="0.25">
      <c r="A42" s="25">
        <v>40</v>
      </c>
      <c r="B42" s="24" t="s">
        <v>372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1"/>
  <dimension ref="A1:E13"/>
  <sheetViews>
    <sheetView workbookViewId="0">
      <selection activeCell="B4" sqref="B4:B9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  <col min="5" max="5" width="20.28515625" bestFit="1" customWidth="1"/>
    <col min="6" max="6" width="20.5703125" bestFit="1" customWidth="1"/>
  </cols>
  <sheetData>
    <row r="1" spans="1:5" x14ac:dyDescent="0.25">
      <c r="A1" s="6" t="s">
        <v>144</v>
      </c>
      <c r="B1" s="6" t="s">
        <v>116</v>
      </c>
      <c r="C1" s="6" t="s">
        <v>115</v>
      </c>
    </row>
    <row r="2" spans="1:5" x14ac:dyDescent="0.25">
      <c r="A2" s="20">
        <v>0</v>
      </c>
      <c r="B2" s="22" t="s">
        <v>39</v>
      </c>
      <c r="C2" s="65"/>
    </row>
    <row r="3" spans="1:5" x14ac:dyDescent="0.25">
      <c r="A3" s="20">
        <v>1</v>
      </c>
      <c r="B3" s="33" t="s">
        <v>120</v>
      </c>
      <c r="C3" s="65"/>
    </row>
    <row r="4" spans="1:5" x14ac:dyDescent="0.25">
      <c r="A4" s="20">
        <v>2</v>
      </c>
      <c r="B4" s="33" t="s">
        <v>119</v>
      </c>
      <c r="C4" s="65"/>
    </row>
    <row r="5" spans="1:5" x14ac:dyDescent="0.25">
      <c r="A5" s="20">
        <v>3</v>
      </c>
      <c r="B5" s="33" t="s">
        <v>315</v>
      </c>
      <c r="C5" s="65"/>
    </row>
    <row r="6" spans="1:5" x14ac:dyDescent="0.25">
      <c r="A6" s="20">
        <v>4</v>
      </c>
      <c r="B6" s="33" t="s">
        <v>321</v>
      </c>
      <c r="C6" s="65" t="s">
        <v>497</v>
      </c>
      <c r="D6" s="59" t="s">
        <v>321</v>
      </c>
      <c r="E6" s="60"/>
    </row>
    <row r="7" spans="1:5" x14ac:dyDescent="0.25">
      <c r="A7" s="20">
        <v>5</v>
      </c>
      <c r="B7" s="23" t="s">
        <v>121</v>
      </c>
      <c r="C7" s="65"/>
      <c r="D7" s="61">
        <v>0</v>
      </c>
      <c r="E7" s="62" t="s">
        <v>322</v>
      </c>
    </row>
    <row r="8" spans="1:5" x14ac:dyDescent="0.25">
      <c r="A8" s="20">
        <v>6</v>
      </c>
      <c r="B8" s="34" t="s">
        <v>118</v>
      </c>
      <c r="C8" s="65"/>
      <c r="D8" s="61">
        <v>1</v>
      </c>
      <c r="E8" s="62" t="s">
        <v>323</v>
      </c>
    </row>
    <row r="9" spans="1:5" x14ac:dyDescent="0.25">
      <c r="A9" s="20">
        <v>7</v>
      </c>
      <c r="B9" s="34" t="s">
        <v>329</v>
      </c>
      <c r="C9" s="65"/>
      <c r="D9" s="61">
        <v>2</v>
      </c>
      <c r="E9" s="62" t="s">
        <v>327</v>
      </c>
    </row>
    <row r="10" spans="1:5" x14ac:dyDescent="0.25">
      <c r="A10" s="20">
        <v>8</v>
      </c>
      <c r="B10" s="34" t="s">
        <v>329</v>
      </c>
      <c r="C10" s="65"/>
      <c r="D10" s="61">
        <v>3</v>
      </c>
      <c r="E10" s="62" t="s">
        <v>324</v>
      </c>
    </row>
    <row r="11" spans="1:5" x14ac:dyDescent="0.25">
      <c r="A11" s="20">
        <v>9</v>
      </c>
      <c r="B11" s="22" t="s">
        <v>320</v>
      </c>
      <c r="C11" s="65"/>
      <c r="D11" s="61">
        <v>4</v>
      </c>
      <c r="E11" s="62" t="s">
        <v>328</v>
      </c>
    </row>
    <row r="12" spans="1:5" x14ac:dyDescent="0.25">
      <c r="D12" s="61">
        <v>5</v>
      </c>
      <c r="E12" s="62" t="s">
        <v>325</v>
      </c>
    </row>
    <row r="13" spans="1:5" x14ac:dyDescent="0.25">
      <c r="D13" s="63">
        <v>6</v>
      </c>
      <c r="E13" s="64" t="s">
        <v>326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3"/>
  <dimension ref="A1:C13"/>
  <sheetViews>
    <sheetView workbookViewId="0">
      <selection activeCell="B4" sqref="B4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38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79</v>
      </c>
    </row>
    <row r="3" spans="1:3" x14ac:dyDescent="0.25">
      <c r="A3" s="20">
        <v>1</v>
      </c>
      <c r="B3" s="33" t="s">
        <v>368</v>
      </c>
    </row>
    <row r="4" spans="1:3" x14ac:dyDescent="0.25">
      <c r="A4" s="40">
        <v>2</v>
      </c>
      <c r="B4" s="33" t="s">
        <v>358</v>
      </c>
    </row>
    <row r="5" spans="1:3" ht="45" x14ac:dyDescent="0.25">
      <c r="A5" s="3">
        <v>3</v>
      </c>
      <c r="B5" s="69" t="s">
        <v>359</v>
      </c>
      <c r="C5" s="68" t="s">
        <v>492</v>
      </c>
    </row>
    <row r="6" spans="1:3" x14ac:dyDescent="0.25">
      <c r="A6" s="3">
        <v>4</v>
      </c>
      <c r="B6" s="69" t="s">
        <v>368</v>
      </c>
    </row>
    <row r="7" spans="1:3" ht="45" x14ac:dyDescent="0.25">
      <c r="A7" s="3">
        <v>5</v>
      </c>
      <c r="B7" s="26" t="s">
        <v>360</v>
      </c>
      <c r="C7" s="68" t="s">
        <v>492</v>
      </c>
    </row>
    <row r="8" spans="1:3" x14ac:dyDescent="0.25">
      <c r="A8" s="3">
        <v>6</v>
      </c>
      <c r="B8" s="69" t="s">
        <v>368</v>
      </c>
    </row>
    <row r="9" spans="1:3" ht="45" x14ac:dyDescent="0.25">
      <c r="A9" s="3">
        <v>7</v>
      </c>
      <c r="B9" s="30" t="s">
        <v>361</v>
      </c>
      <c r="C9" s="68" t="s">
        <v>492</v>
      </c>
    </row>
    <row r="10" spans="1:3" x14ac:dyDescent="0.25">
      <c r="A10" s="3">
        <v>8</v>
      </c>
      <c r="B10" s="69" t="s">
        <v>368</v>
      </c>
    </row>
    <row r="11" spans="1:3" ht="45" x14ac:dyDescent="0.25">
      <c r="A11" s="3">
        <v>9</v>
      </c>
      <c r="B11" s="30" t="s">
        <v>362</v>
      </c>
      <c r="C11" s="68" t="s">
        <v>492</v>
      </c>
    </row>
    <row r="12" spans="1:3" x14ac:dyDescent="0.25">
      <c r="A12" s="40">
        <v>10</v>
      </c>
      <c r="B12" s="33" t="s">
        <v>368</v>
      </c>
    </row>
    <row r="13" spans="1:3" x14ac:dyDescent="0.25">
      <c r="A13" s="40">
        <v>11</v>
      </c>
      <c r="B13" s="22" t="s">
        <v>367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4"/>
  <dimension ref="A1:E10"/>
  <sheetViews>
    <sheetView workbookViewId="0"/>
  </sheetViews>
  <sheetFormatPr defaultRowHeight="15" x14ac:dyDescent="0.25"/>
  <cols>
    <col min="1" max="1" width="9.140625" style="20"/>
    <col min="2" max="2" width="22.85546875" style="34" bestFit="1" customWidth="1"/>
    <col min="3" max="3" width="20.42578125" style="34" bestFit="1" customWidth="1"/>
    <col min="6" max="6" width="20.28515625" bestFit="1" customWidth="1"/>
  </cols>
  <sheetData>
    <row r="1" spans="1:5" x14ac:dyDescent="0.25">
      <c r="A1" s="6" t="s">
        <v>144</v>
      </c>
      <c r="B1" s="6" t="s">
        <v>116</v>
      </c>
      <c r="C1" s="6" t="s">
        <v>115</v>
      </c>
    </row>
    <row r="2" spans="1:5" x14ac:dyDescent="0.25">
      <c r="A2" s="20">
        <v>0</v>
      </c>
      <c r="B2" s="22" t="s">
        <v>57</v>
      </c>
      <c r="E2" s="5"/>
    </row>
    <row r="3" spans="1:5" x14ac:dyDescent="0.25">
      <c r="A3" s="20">
        <v>1</v>
      </c>
      <c r="B3" s="33" t="s">
        <v>120</v>
      </c>
    </row>
    <row r="4" spans="1:5" x14ac:dyDescent="0.25">
      <c r="A4" s="20">
        <v>2</v>
      </c>
      <c r="B4" s="33" t="s">
        <v>119</v>
      </c>
    </row>
    <row r="5" spans="1:5" x14ac:dyDescent="0.25">
      <c r="A5" s="20">
        <v>3</v>
      </c>
      <c r="B5" s="33" t="s">
        <v>315</v>
      </c>
    </row>
    <row r="6" spans="1:5" x14ac:dyDescent="0.25">
      <c r="A6" s="20">
        <v>4</v>
      </c>
      <c r="B6" s="33" t="s">
        <v>121</v>
      </c>
    </row>
    <row r="7" spans="1:5" x14ac:dyDescent="0.25">
      <c r="A7" s="20">
        <v>5</v>
      </c>
      <c r="B7" s="23" t="s">
        <v>118</v>
      </c>
    </row>
    <row r="8" spans="1:5" x14ac:dyDescent="0.25">
      <c r="A8" s="20">
        <v>6</v>
      </c>
      <c r="B8" s="34" t="s">
        <v>329</v>
      </c>
    </row>
    <row r="9" spans="1:5" x14ac:dyDescent="0.25">
      <c r="A9" s="20">
        <v>7</v>
      </c>
      <c r="B9" s="34" t="s">
        <v>329</v>
      </c>
    </row>
    <row r="10" spans="1:5" x14ac:dyDescent="0.25">
      <c r="A10" s="20">
        <v>8</v>
      </c>
      <c r="B10" s="34" t="s">
        <v>330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6"/>
  <dimension ref="A1:C7"/>
  <sheetViews>
    <sheetView workbookViewId="0">
      <selection sqref="A1:C1048576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291</v>
      </c>
    </row>
    <row r="3" spans="1:3" x14ac:dyDescent="0.25">
      <c r="B3" s="33"/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47"/>
  <dimension ref="A1:O60"/>
  <sheetViews>
    <sheetView tabSelected="1" topLeftCell="A25" workbookViewId="0">
      <selection activeCell="B8" sqref="B8"/>
    </sheetView>
  </sheetViews>
  <sheetFormatPr defaultColWidth="9.140625" defaultRowHeight="15" x14ac:dyDescent="0.25"/>
  <cols>
    <col min="1" max="1" width="9.140625" style="12"/>
    <col min="2" max="2" width="43" style="82" bestFit="1" customWidth="1"/>
    <col min="3" max="3" width="36" style="31" bestFit="1" customWidth="1"/>
    <col min="4" max="4" width="10.85546875" style="12" bestFit="1" customWidth="1"/>
    <col min="5" max="5" width="16.140625" style="12" bestFit="1" customWidth="1"/>
    <col min="6" max="6" width="10.85546875" style="12" bestFit="1" customWidth="1"/>
    <col min="7" max="7" width="9.85546875" style="12" bestFit="1" customWidth="1"/>
    <col min="8" max="8" width="12.7109375" style="12" bestFit="1" customWidth="1"/>
    <col min="9" max="9" width="16.140625" style="12" bestFit="1" customWidth="1"/>
    <col min="10" max="10" width="15" style="12" bestFit="1" customWidth="1"/>
    <col min="11" max="11" width="15.42578125" style="12" bestFit="1" customWidth="1"/>
    <col min="12" max="12" width="10.85546875" style="12" customWidth="1"/>
    <col min="13" max="13" width="11.28515625" style="12" bestFit="1" customWidth="1"/>
    <col min="14" max="14" width="9" style="12" bestFit="1" customWidth="1"/>
    <col min="15" max="15" width="12.85546875" style="12" bestFit="1" customWidth="1"/>
    <col min="16" max="16" width="9.140625" style="12"/>
    <col min="17" max="17" width="12.85546875" style="12" bestFit="1" customWidth="1"/>
    <col min="18" max="18" width="10.85546875" style="12" bestFit="1" customWidth="1"/>
    <col min="19" max="19" width="16.85546875" style="12" customWidth="1"/>
    <col min="20" max="20" width="10.85546875" style="12" customWidth="1"/>
    <col min="21" max="21" width="9.42578125" style="12" bestFit="1" customWidth="1"/>
    <col min="22" max="22" width="9.7109375" style="12" bestFit="1" customWidth="1"/>
    <col min="23" max="23" width="19" style="12" bestFit="1" customWidth="1"/>
    <col min="24" max="16384" width="9.140625" style="12"/>
  </cols>
  <sheetData>
    <row r="1" spans="1:9" x14ac:dyDescent="0.25">
      <c r="A1" s="7" t="s">
        <v>144</v>
      </c>
      <c r="B1" s="7" t="s">
        <v>116</v>
      </c>
      <c r="C1" s="70" t="s">
        <v>115</v>
      </c>
    </row>
    <row r="2" spans="1:9" s="7" customFormat="1" x14ac:dyDescent="0.25">
      <c r="A2" s="71">
        <v>0</v>
      </c>
      <c r="B2" s="79" t="s">
        <v>38</v>
      </c>
      <c r="C2" s="83"/>
    </row>
    <row r="3" spans="1:9" x14ac:dyDescent="0.25">
      <c r="A3" s="12">
        <v>1</v>
      </c>
      <c r="B3" s="27" t="s">
        <v>260</v>
      </c>
      <c r="C3" s="32" t="s">
        <v>259</v>
      </c>
    </row>
    <row r="4" spans="1:9" x14ac:dyDescent="0.25">
      <c r="A4" s="71">
        <v>2</v>
      </c>
      <c r="B4" s="27" t="s">
        <v>252</v>
      </c>
      <c r="C4" s="32" t="s">
        <v>258</v>
      </c>
    </row>
    <row r="5" spans="1:9" x14ac:dyDescent="0.25">
      <c r="A5" s="12">
        <v>3</v>
      </c>
      <c r="B5" s="27" t="s">
        <v>253</v>
      </c>
      <c r="C5" s="31" t="s">
        <v>254</v>
      </c>
    </row>
    <row r="6" spans="1:9" x14ac:dyDescent="0.25">
      <c r="A6" s="71">
        <v>4</v>
      </c>
      <c r="B6" s="27" t="s">
        <v>255</v>
      </c>
      <c r="C6" s="31" t="s">
        <v>256</v>
      </c>
    </row>
    <row r="7" spans="1:9" x14ac:dyDescent="0.25">
      <c r="A7" s="12">
        <v>5</v>
      </c>
      <c r="B7" s="27" t="s">
        <v>257</v>
      </c>
      <c r="C7" s="31" t="s">
        <v>256</v>
      </c>
    </row>
    <row r="8" spans="1:9" x14ac:dyDescent="0.25">
      <c r="B8" s="80" t="s">
        <v>314</v>
      </c>
      <c r="C8" s="84" t="s">
        <v>432</v>
      </c>
    </row>
    <row r="9" spans="1:9" x14ac:dyDescent="0.25">
      <c r="A9" s="12">
        <v>1</v>
      </c>
      <c r="B9" s="27" t="s">
        <v>475</v>
      </c>
      <c r="C9" s="32" t="s">
        <v>531</v>
      </c>
      <c r="D9" s="73" t="s">
        <v>504</v>
      </c>
      <c r="E9" s="74"/>
      <c r="F9" s="86" t="s">
        <v>530</v>
      </c>
      <c r="G9" s="74"/>
    </row>
    <row r="10" spans="1:9" x14ac:dyDescent="0.25">
      <c r="A10" s="71">
        <v>2</v>
      </c>
      <c r="B10" s="27" t="s">
        <v>466</v>
      </c>
      <c r="C10" s="32" t="s">
        <v>518</v>
      </c>
      <c r="D10" s="75">
        <v>0</v>
      </c>
      <c r="E10" s="76" t="s">
        <v>505</v>
      </c>
      <c r="F10" s="75">
        <v>0</v>
      </c>
      <c r="G10" s="76" t="s">
        <v>337</v>
      </c>
    </row>
    <row r="11" spans="1:9" x14ac:dyDescent="0.25">
      <c r="A11" s="12">
        <v>3</v>
      </c>
      <c r="B11" s="27" t="s">
        <v>467</v>
      </c>
      <c r="C11" s="32" t="s">
        <v>518</v>
      </c>
      <c r="D11" s="75">
        <v>1</v>
      </c>
      <c r="E11" s="76" t="s">
        <v>506</v>
      </c>
      <c r="F11" s="87">
        <v>16</v>
      </c>
      <c r="G11" s="76" t="s">
        <v>519</v>
      </c>
    </row>
    <row r="12" spans="1:9" x14ac:dyDescent="0.25">
      <c r="A12" s="71">
        <v>4</v>
      </c>
      <c r="B12" s="27" t="s">
        <v>477</v>
      </c>
      <c r="C12" s="32" t="s">
        <v>536</v>
      </c>
      <c r="D12" s="75">
        <v>2</v>
      </c>
      <c r="E12" s="76" t="s">
        <v>507</v>
      </c>
      <c r="F12" s="87">
        <v>32</v>
      </c>
      <c r="G12" s="76" t="s">
        <v>520</v>
      </c>
      <c r="H12" s="73" t="s">
        <v>532</v>
      </c>
      <c r="I12" s="74"/>
    </row>
    <row r="13" spans="1:9" x14ac:dyDescent="0.25">
      <c r="A13" s="12">
        <v>5</v>
      </c>
      <c r="B13" s="27" t="s">
        <v>476</v>
      </c>
      <c r="C13" s="32" t="s">
        <v>531</v>
      </c>
      <c r="D13" s="75">
        <v>3</v>
      </c>
      <c r="E13" s="76" t="s">
        <v>508</v>
      </c>
      <c r="F13" s="87">
        <v>48</v>
      </c>
      <c r="G13" s="76" t="s">
        <v>521</v>
      </c>
      <c r="H13" s="75">
        <v>0</v>
      </c>
      <c r="I13" s="76" t="s">
        <v>529</v>
      </c>
    </row>
    <row r="14" spans="1:9" x14ac:dyDescent="0.25">
      <c r="A14" s="71">
        <v>6</v>
      </c>
      <c r="B14" s="27" t="s">
        <v>468</v>
      </c>
      <c r="C14" s="32" t="s">
        <v>518</v>
      </c>
      <c r="D14" s="75">
        <v>4</v>
      </c>
      <c r="E14" s="76" t="s">
        <v>509</v>
      </c>
      <c r="F14" s="87">
        <v>64</v>
      </c>
      <c r="G14" s="76" t="s">
        <v>522</v>
      </c>
      <c r="H14" s="77">
        <v>16</v>
      </c>
      <c r="I14" s="78" t="s">
        <v>528</v>
      </c>
    </row>
    <row r="15" spans="1:9" x14ac:dyDescent="0.25">
      <c r="A15" s="12">
        <v>7</v>
      </c>
      <c r="B15" s="27" t="s">
        <v>469</v>
      </c>
      <c r="C15" s="32" t="s">
        <v>518</v>
      </c>
      <c r="D15" s="75">
        <v>5</v>
      </c>
      <c r="E15" s="76" t="s">
        <v>510</v>
      </c>
      <c r="F15" s="87">
        <v>80</v>
      </c>
      <c r="G15" s="76" t="s">
        <v>523</v>
      </c>
    </row>
    <row r="16" spans="1:9" ht="30" x14ac:dyDescent="0.25">
      <c r="A16" s="71">
        <v>8</v>
      </c>
      <c r="B16" s="27" t="s">
        <v>478</v>
      </c>
      <c r="C16" s="32" t="s">
        <v>536</v>
      </c>
      <c r="D16" s="75">
        <v>6</v>
      </c>
      <c r="E16" s="76" t="s">
        <v>511</v>
      </c>
      <c r="F16" s="87">
        <v>96</v>
      </c>
      <c r="G16" s="76" t="s">
        <v>524</v>
      </c>
    </row>
    <row r="17" spans="1:15" x14ac:dyDescent="0.25">
      <c r="A17" s="12">
        <v>9</v>
      </c>
      <c r="B17" s="27" t="s">
        <v>437</v>
      </c>
      <c r="C17" s="32" t="s">
        <v>438</v>
      </c>
      <c r="D17" s="75">
        <v>7</v>
      </c>
      <c r="E17" s="76" t="s">
        <v>512</v>
      </c>
      <c r="F17" s="87">
        <v>112</v>
      </c>
      <c r="G17" s="76" t="s">
        <v>525</v>
      </c>
    </row>
    <row r="18" spans="1:15" x14ac:dyDescent="0.25">
      <c r="A18" s="71">
        <v>10</v>
      </c>
      <c r="B18" s="27" t="s">
        <v>439</v>
      </c>
      <c r="C18" s="32" t="s">
        <v>544</v>
      </c>
      <c r="D18" s="75">
        <v>8</v>
      </c>
      <c r="E18" s="76" t="s">
        <v>513</v>
      </c>
      <c r="F18" s="87">
        <v>128</v>
      </c>
      <c r="G18" s="76" t="s">
        <v>526</v>
      </c>
      <c r="H18" s="86" t="s">
        <v>253</v>
      </c>
      <c r="I18" s="74"/>
    </row>
    <row r="19" spans="1:15" x14ac:dyDescent="0.25">
      <c r="A19" s="12">
        <v>11</v>
      </c>
      <c r="B19" s="27" t="s">
        <v>440</v>
      </c>
      <c r="C19" s="32" t="s">
        <v>545</v>
      </c>
      <c r="D19" s="75">
        <v>9</v>
      </c>
      <c r="E19" s="76" t="s">
        <v>514</v>
      </c>
      <c r="F19" s="88">
        <v>144</v>
      </c>
      <c r="G19" s="78" t="s">
        <v>527</v>
      </c>
      <c r="H19" s="75">
        <v>0</v>
      </c>
      <c r="I19" s="89" t="s">
        <v>533</v>
      </c>
      <c r="J19" s="91" t="s">
        <v>440</v>
      </c>
      <c r="K19" s="74"/>
    </row>
    <row r="20" spans="1:15" x14ac:dyDescent="0.25">
      <c r="A20" s="71">
        <v>12</v>
      </c>
      <c r="B20" s="27" t="s">
        <v>441</v>
      </c>
      <c r="C20" s="32" t="s">
        <v>554</v>
      </c>
      <c r="D20" s="75">
        <v>10</v>
      </c>
      <c r="E20" s="76" t="s">
        <v>515</v>
      </c>
      <c r="H20" s="75">
        <v>1</v>
      </c>
      <c r="I20" s="89" t="s">
        <v>534</v>
      </c>
      <c r="J20" s="75">
        <v>0</v>
      </c>
      <c r="K20" s="89" t="s">
        <v>539</v>
      </c>
      <c r="L20" s="91" t="s">
        <v>441</v>
      </c>
      <c r="M20" s="74"/>
    </row>
    <row r="21" spans="1:15" ht="45" x14ac:dyDescent="0.25">
      <c r="A21" s="12">
        <v>13</v>
      </c>
      <c r="B21" s="27" t="s">
        <v>442</v>
      </c>
      <c r="C21" s="32" t="s">
        <v>555</v>
      </c>
      <c r="D21" s="75">
        <v>11</v>
      </c>
      <c r="E21" s="76" t="s">
        <v>516</v>
      </c>
      <c r="H21" s="77">
        <v>2</v>
      </c>
      <c r="I21" s="90" t="s">
        <v>535</v>
      </c>
      <c r="J21" s="75">
        <v>1</v>
      </c>
      <c r="K21" s="89" t="s">
        <v>540</v>
      </c>
      <c r="L21" s="75">
        <v>0</v>
      </c>
      <c r="M21" s="76" t="s">
        <v>548</v>
      </c>
    </row>
    <row r="22" spans="1:15" ht="45" x14ac:dyDescent="0.25">
      <c r="A22" s="71">
        <v>14</v>
      </c>
      <c r="B22" s="27" t="s">
        <v>443</v>
      </c>
      <c r="C22" s="32" t="s">
        <v>555</v>
      </c>
      <c r="D22" s="77">
        <v>12</v>
      </c>
      <c r="E22" s="78" t="s">
        <v>517</v>
      </c>
      <c r="J22" s="75">
        <v>2</v>
      </c>
      <c r="K22" s="89" t="s">
        <v>542</v>
      </c>
      <c r="L22" s="75">
        <v>1</v>
      </c>
      <c r="M22" s="76" t="s">
        <v>553</v>
      </c>
    </row>
    <row r="23" spans="1:15" x14ac:dyDescent="0.25">
      <c r="A23" s="12">
        <v>15</v>
      </c>
      <c r="B23" s="27" t="s">
        <v>444</v>
      </c>
      <c r="C23" s="32" t="s">
        <v>560</v>
      </c>
      <c r="J23" s="75">
        <v>3</v>
      </c>
      <c r="K23" s="89" t="s">
        <v>541</v>
      </c>
      <c r="L23" s="75">
        <v>2</v>
      </c>
      <c r="M23" s="89" t="s">
        <v>547</v>
      </c>
      <c r="N23" s="91" t="s">
        <v>444</v>
      </c>
      <c r="O23" s="74"/>
    </row>
    <row r="24" spans="1:15" ht="30" x14ac:dyDescent="0.25">
      <c r="A24" s="71">
        <v>16</v>
      </c>
      <c r="B24" s="27" t="s">
        <v>445</v>
      </c>
      <c r="C24" s="32" t="s">
        <v>498</v>
      </c>
      <c r="J24" s="75">
        <v>4</v>
      </c>
      <c r="K24" s="89" t="s">
        <v>537</v>
      </c>
      <c r="L24" s="75">
        <v>3</v>
      </c>
      <c r="M24" s="89" t="s">
        <v>550</v>
      </c>
      <c r="N24" s="75">
        <v>0</v>
      </c>
      <c r="O24" s="76" t="s">
        <v>556</v>
      </c>
    </row>
    <row r="25" spans="1:15" x14ac:dyDescent="0.25">
      <c r="A25" s="12">
        <v>17</v>
      </c>
      <c r="B25" s="81" t="s">
        <v>470</v>
      </c>
      <c r="C25" s="85" t="s">
        <v>115</v>
      </c>
      <c r="J25" s="75">
        <v>5</v>
      </c>
      <c r="K25" s="89" t="s">
        <v>538</v>
      </c>
      <c r="L25" s="75">
        <v>4</v>
      </c>
      <c r="M25" s="89" t="s">
        <v>552</v>
      </c>
      <c r="N25" s="75">
        <v>1</v>
      </c>
      <c r="O25" s="76" t="s">
        <v>559</v>
      </c>
    </row>
    <row r="26" spans="1:15" ht="30" x14ac:dyDescent="0.25">
      <c r="A26" s="71">
        <v>18</v>
      </c>
      <c r="B26" s="81" t="s">
        <v>436</v>
      </c>
      <c r="C26" s="85" t="s">
        <v>115</v>
      </c>
      <c r="J26" s="77">
        <v>6</v>
      </c>
      <c r="K26" s="90" t="s">
        <v>543</v>
      </c>
      <c r="L26" s="75">
        <v>5</v>
      </c>
      <c r="M26" s="89" t="s">
        <v>546</v>
      </c>
      <c r="N26" s="75">
        <v>2</v>
      </c>
      <c r="O26" s="76" t="s">
        <v>558</v>
      </c>
    </row>
    <row r="27" spans="1:15" x14ac:dyDescent="0.25">
      <c r="A27" s="12">
        <v>19</v>
      </c>
      <c r="B27" s="81" t="s">
        <v>446</v>
      </c>
      <c r="C27" s="85" t="s">
        <v>115</v>
      </c>
      <c r="L27" s="75">
        <v>6</v>
      </c>
      <c r="M27" s="89" t="s">
        <v>549</v>
      </c>
      <c r="N27" s="75">
        <v>3</v>
      </c>
      <c r="O27" s="76" t="s">
        <v>548</v>
      </c>
    </row>
    <row r="28" spans="1:15" x14ac:dyDescent="0.25">
      <c r="A28" s="71">
        <v>20</v>
      </c>
      <c r="B28" s="81" t="s">
        <v>446</v>
      </c>
      <c r="C28" s="85" t="s">
        <v>115</v>
      </c>
      <c r="L28" s="77">
        <v>7</v>
      </c>
      <c r="M28" s="90" t="s">
        <v>551</v>
      </c>
      <c r="N28" s="75">
        <v>4</v>
      </c>
      <c r="O28" s="76" t="s">
        <v>557</v>
      </c>
    </row>
    <row r="29" spans="1:15" x14ac:dyDescent="0.25">
      <c r="A29" s="12">
        <v>21</v>
      </c>
      <c r="B29" s="81" t="s">
        <v>436</v>
      </c>
      <c r="C29" s="85" t="s">
        <v>115</v>
      </c>
      <c r="N29" s="77">
        <v>5</v>
      </c>
      <c r="O29" s="78" t="s">
        <v>552</v>
      </c>
    </row>
    <row r="30" spans="1:15" x14ac:dyDescent="0.25">
      <c r="A30" s="71">
        <v>22</v>
      </c>
      <c r="B30" s="27" t="s">
        <v>447</v>
      </c>
      <c r="C30" s="32" t="s">
        <v>568</v>
      </c>
      <c r="D30" s="91" t="s">
        <v>447</v>
      </c>
      <c r="E30" s="74"/>
    </row>
    <row r="31" spans="1:15" ht="45" x14ac:dyDescent="0.25">
      <c r="A31" s="12">
        <v>23</v>
      </c>
      <c r="B31" s="27" t="s">
        <v>474</v>
      </c>
      <c r="C31" s="32" t="s">
        <v>555</v>
      </c>
      <c r="D31" s="75">
        <v>0</v>
      </c>
      <c r="E31" s="76" t="s">
        <v>561</v>
      </c>
    </row>
    <row r="32" spans="1:15" ht="45" x14ac:dyDescent="0.25">
      <c r="A32" s="71">
        <v>24</v>
      </c>
      <c r="B32" s="27" t="s">
        <v>473</v>
      </c>
      <c r="C32" s="32" t="s">
        <v>555</v>
      </c>
      <c r="D32" s="75">
        <v>1</v>
      </c>
      <c r="E32" s="76" t="s">
        <v>564</v>
      </c>
    </row>
    <row r="33" spans="1:9" x14ac:dyDescent="0.25">
      <c r="A33" s="12">
        <v>25</v>
      </c>
      <c r="B33" s="27" t="s">
        <v>448</v>
      </c>
      <c r="C33" s="32" t="s">
        <v>576</v>
      </c>
      <c r="D33" s="75">
        <v>2</v>
      </c>
      <c r="E33" s="89" t="s">
        <v>562</v>
      </c>
      <c r="F33" s="91" t="s">
        <v>448</v>
      </c>
      <c r="G33" s="74"/>
    </row>
    <row r="34" spans="1:9" ht="30" x14ac:dyDescent="0.25">
      <c r="A34" s="71">
        <v>26</v>
      </c>
      <c r="B34" s="27" t="s">
        <v>449</v>
      </c>
      <c r="C34" s="32" t="s">
        <v>545</v>
      </c>
      <c r="D34" s="75">
        <v>3</v>
      </c>
      <c r="E34" s="89" t="s">
        <v>565</v>
      </c>
      <c r="F34" s="75">
        <v>0</v>
      </c>
      <c r="G34" s="76" t="s">
        <v>569</v>
      </c>
    </row>
    <row r="35" spans="1:9" x14ac:dyDescent="0.25">
      <c r="A35" s="12">
        <v>27</v>
      </c>
      <c r="B35" s="27" t="s">
        <v>450</v>
      </c>
      <c r="C35" s="32" t="s">
        <v>580</v>
      </c>
      <c r="D35" s="75">
        <v>4</v>
      </c>
      <c r="E35" s="89" t="s">
        <v>563</v>
      </c>
      <c r="F35" s="75">
        <v>1</v>
      </c>
      <c r="G35" s="76" t="s">
        <v>572</v>
      </c>
      <c r="H35" s="91" t="s">
        <v>450</v>
      </c>
      <c r="I35" s="74"/>
    </row>
    <row r="36" spans="1:9" ht="30" x14ac:dyDescent="0.25">
      <c r="A36" s="71">
        <v>28</v>
      </c>
      <c r="B36" s="27" t="s">
        <v>451</v>
      </c>
      <c r="C36" s="32" t="s">
        <v>498</v>
      </c>
      <c r="D36" s="75">
        <v>5</v>
      </c>
      <c r="E36" s="89" t="s">
        <v>566</v>
      </c>
      <c r="F36" s="75">
        <v>2</v>
      </c>
      <c r="G36" s="76" t="s">
        <v>574</v>
      </c>
      <c r="H36" s="75">
        <v>0</v>
      </c>
      <c r="I36" s="76" t="s">
        <v>561</v>
      </c>
    </row>
    <row r="37" spans="1:9" ht="30" x14ac:dyDescent="0.25">
      <c r="A37" s="12">
        <v>29</v>
      </c>
      <c r="B37" s="27" t="s">
        <v>454</v>
      </c>
      <c r="C37" s="85"/>
      <c r="D37" s="77">
        <v>6</v>
      </c>
      <c r="E37" s="90" t="s">
        <v>567</v>
      </c>
      <c r="F37" s="75">
        <v>3</v>
      </c>
      <c r="G37" s="76" t="s">
        <v>573</v>
      </c>
      <c r="H37" s="75">
        <v>1</v>
      </c>
      <c r="I37" s="76" t="s">
        <v>577</v>
      </c>
    </row>
    <row r="38" spans="1:9" ht="30" x14ac:dyDescent="0.25">
      <c r="A38" s="71">
        <v>30</v>
      </c>
      <c r="B38" s="27" t="s">
        <v>455</v>
      </c>
      <c r="C38" s="85"/>
      <c r="F38" s="75">
        <v>4</v>
      </c>
      <c r="G38" s="76" t="s">
        <v>571</v>
      </c>
      <c r="H38" s="75">
        <v>2</v>
      </c>
      <c r="I38" s="76" t="s">
        <v>578</v>
      </c>
    </row>
    <row r="39" spans="1:9" ht="30" x14ac:dyDescent="0.25">
      <c r="A39" s="12">
        <v>31</v>
      </c>
      <c r="B39" s="27" t="s">
        <v>456</v>
      </c>
      <c r="C39" s="85"/>
      <c r="F39" s="75">
        <v>5</v>
      </c>
      <c r="G39" s="76" t="s">
        <v>575</v>
      </c>
      <c r="H39" s="77">
        <v>3</v>
      </c>
      <c r="I39" s="78" t="s">
        <v>579</v>
      </c>
    </row>
    <row r="40" spans="1:9" x14ac:dyDescent="0.25">
      <c r="A40" s="71">
        <v>32</v>
      </c>
      <c r="B40" s="27" t="s">
        <v>457</v>
      </c>
      <c r="C40" s="85"/>
      <c r="F40" s="77">
        <v>6</v>
      </c>
      <c r="G40" s="78" t="s">
        <v>570</v>
      </c>
    </row>
    <row r="41" spans="1:9" x14ac:dyDescent="0.25">
      <c r="A41" s="12">
        <v>33</v>
      </c>
      <c r="B41" s="27" t="s">
        <v>452</v>
      </c>
      <c r="C41" s="85"/>
    </row>
    <row r="42" spans="1:9" x14ac:dyDescent="0.25">
      <c r="A42" s="71">
        <v>34</v>
      </c>
      <c r="B42" s="27" t="s">
        <v>453</v>
      </c>
      <c r="C42" s="85"/>
    </row>
    <row r="43" spans="1:9" x14ac:dyDescent="0.25">
      <c r="A43" s="12">
        <v>35</v>
      </c>
      <c r="B43" s="27" t="s">
        <v>471</v>
      </c>
      <c r="C43" s="32" t="s">
        <v>117</v>
      </c>
    </row>
    <row r="44" spans="1:9" ht="30" x14ac:dyDescent="0.25">
      <c r="A44" s="71">
        <v>36</v>
      </c>
      <c r="B44" s="27" t="s">
        <v>458</v>
      </c>
      <c r="C44" s="32" t="s">
        <v>498</v>
      </c>
    </row>
    <row r="45" spans="1:9" x14ac:dyDescent="0.25">
      <c r="A45" s="12">
        <v>37</v>
      </c>
      <c r="B45" s="27" t="s">
        <v>459</v>
      </c>
      <c r="C45" s="85"/>
    </row>
    <row r="46" spans="1:9" x14ac:dyDescent="0.25">
      <c r="A46" s="71">
        <v>38</v>
      </c>
      <c r="B46" s="27" t="s">
        <v>460</v>
      </c>
      <c r="C46" s="85"/>
    </row>
    <row r="47" spans="1:9" x14ac:dyDescent="0.25">
      <c r="A47" s="12">
        <v>39</v>
      </c>
      <c r="B47" s="27" t="s">
        <v>461</v>
      </c>
      <c r="C47" s="85"/>
    </row>
    <row r="48" spans="1:9" x14ac:dyDescent="0.25">
      <c r="A48" s="71">
        <v>40</v>
      </c>
      <c r="B48" s="27" t="s">
        <v>479</v>
      </c>
      <c r="C48" s="85"/>
    </row>
    <row r="49" spans="1:5" x14ac:dyDescent="0.25">
      <c r="A49" s="12">
        <v>41</v>
      </c>
      <c r="B49" s="27" t="s">
        <v>462</v>
      </c>
      <c r="C49" s="85"/>
    </row>
    <row r="50" spans="1:5" x14ac:dyDescent="0.25">
      <c r="A50" s="71">
        <v>42</v>
      </c>
      <c r="B50" s="27" t="s">
        <v>463</v>
      </c>
      <c r="C50" s="85"/>
    </row>
    <row r="51" spans="1:5" ht="30" x14ac:dyDescent="0.25">
      <c r="A51" s="12">
        <v>43</v>
      </c>
      <c r="B51" s="27" t="s">
        <v>464</v>
      </c>
      <c r="C51" s="32"/>
      <c r="D51" s="91" t="s">
        <v>464</v>
      </c>
      <c r="E51" s="74"/>
    </row>
    <row r="52" spans="1:5" x14ac:dyDescent="0.25">
      <c r="A52" s="71">
        <v>44</v>
      </c>
      <c r="B52" s="27" t="s">
        <v>465</v>
      </c>
      <c r="C52" s="32" t="s">
        <v>117</v>
      </c>
      <c r="D52" s="75">
        <v>2</v>
      </c>
      <c r="E52" s="76" t="s">
        <v>720</v>
      </c>
    </row>
    <row r="53" spans="1:5" x14ac:dyDescent="0.25">
      <c r="A53" s="12">
        <v>45</v>
      </c>
      <c r="B53" s="27" t="s">
        <v>329</v>
      </c>
      <c r="C53" s="32"/>
      <c r="D53" s="77">
        <v>5</v>
      </c>
      <c r="E53" s="78" t="s">
        <v>721</v>
      </c>
    </row>
    <row r="54" spans="1:5" x14ac:dyDescent="0.25">
      <c r="A54" s="71">
        <v>46</v>
      </c>
      <c r="B54" s="27" t="s">
        <v>329</v>
      </c>
      <c r="C54" s="32"/>
    </row>
    <row r="55" spans="1:5" x14ac:dyDescent="0.25">
      <c r="A55" s="12">
        <v>47</v>
      </c>
      <c r="B55" s="27" t="s">
        <v>329</v>
      </c>
      <c r="C55" s="32"/>
    </row>
    <row r="56" spans="1:5" x14ac:dyDescent="0.25">
      <c r="A56" s="71">
        <v>48</v>
      </c>
      <c r="B56" s="27" t="s">
        <v>329</v>
      </c>
      <c r="C56" s="32"/>
    </row>
    <row r="57" spans="1:5" x14ac:dyDescent="0.25">
      <c r="A57" s="12">
        <v>49</v>
      </c>
      <c r="B57" s="27" t="s">
        <v>329</v>
      </c>
      <c r="C57" s="32"/>
    </row>
    <row r="58" spans="1:5" x14ac:dyDescent="0.25">
      <c r="A58" s="71">
        <v>50</v>
      </c>
      <c r="B58" s="27" t="s">
        <v>329</v>
      </c>
      <c r="C58" s="32" t="s">
        <v>472</v>
      </c>
    </row>
    <row r="59" spans="1:5" x14ac:dyDescent="0.25">
      <c r="A59" s="12">
        <v>51</v>
      </c>
      <c r="B59" s="27" t="s">
        <v>329</v>
      </c>
      <c r="C59" s="32" t="s">
        <v>472</v>
      </c>
    </row>
    <row r="60" spans="1:5" x14ac:dyDescent="0.25">
      <c r="A60" s="71">
        <v>52</v>
      </c>
      <c r="B60" s="79" t="s">
        <v>251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8"/>
  <dimension ref="A1:C7"/>
  <sheetViews>
    <sheetView workbookViewId="0">
      <selection activeCell="B15" sqref="B15"/>
    </sheetView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2" t="s">
        <v>81</v>
      </c>
    </row>
    <row r="3" spans="1:3" x14ac:dyDescent="0.25">
      <c r="A3" s="20">
        <v>1</v>
      </c>
      <c r="B3" s="33" t="s">
        <v>120</v>
      </c>
    </row>
    <row r="4" spans="1:3" x14ac:dyDescent="0.25">
      <c r="A4" s="20">
        <v>2</v>
      </c>
      <c r="B4" s="33" t="s">
        <v>119</v>
      </c>
    </row>
    <row r="5" spans="1:3" x14ac:dyDescent="0.25">
      <c r="A5" s="20">
        <v>3</v>
      </c>
      <c r="B5" s="33" t="s">
        <v>118</v>
      </c>
    </row>
    <row r="6" spans="1:3" x14ac:dyDescent="0.25">
      <c r="A6" s="20">
        <v>4</v>
      </c>
      <c r="B6" s="39" t="s">
        <v>338</v>
      </c>
    </row>
    <row r="7" spans="1:3" x14ac:dyDescent="0.25">
      <c r="B7" s="22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7"/>
  <sheetViews>
    <sheetView workbookViewId="0"/>
  </sheetViews>
  <sheetFormatPr defaultRowHeight="15" x14ac:dyDescent="0.25"/>
  <cols>
    <col min="1" max="1" width="9.140625" style="20"/>
    <col min="2" max="2" width="20.5703125" style="34" bestFit="1" customWidth="1"/>
    <col min="3" max="3" width="20.42578125" style="34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20">
        <v>0</v>
      </c>
      <c r="B2" s="23" t="s">
        <v>120</v>
      </c>
    </row>
    <row r="3" spans="1:3" x14ac:dyDescent="0.25">
      <c r="A3" s="20">
        <v>1</v>
      </c>
      <c r="B3" s="33" t="s">
        <v>119</v>
      </c>
    </row>
    <row r="4" spans="1:3" x14ac:dyDescent="0.25">
      <c r="B4" s="33"/>
    </row>
    <row r="5" spans="1:3" x14ac:dyDescent="0.25">
      <c r="B5" s="33"/>
    </row>
    <row r="6" spans="1:3" x14ac:dyDescent="0.25">
      <c r="B6" s="33"/>
    </row>
    <row r="7" spans="1:3" x14ac:dyDescent="0.25">
      <c r="B7" s="22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E13"/>
  <sheetViews>
    <sheetView workbookViewId="0">
      <selection activeCell="B7" sqref="B7"/>
    </sheetView>
  </sheetViews>
  <sheetFormatPr defaultRowHeight="15" x14ac:dyDescent="0.25"/>
  <cols>
    <col min="1" max="1" width="9.140625" style="20"/>
    <col min="2" max="2" width="26.7109375" style="34" bestFit="1" customWidth="1"/>
    <col min="3" max="3" width="20.42578125" style="34" bestFit="1" customWidth="1"/>
    <col min="4" max="4" width="26.7109375" bestFit="1" customWidth="1"/>
    <col min="5" max="5" width="9" bestFit="1" customWidth="1"/>
    <col min="6" max="6" width="15.140625" customWidth="1"/>
  </cols>
  <sheetData>
    <row r="1" spans="1:5" x14ac:dyDescent="0.25">
      <c r="A1" s="6" t="s">
        <v>144</v>
      </c>
      <c r="B1" s="6" t="s">
        <v>116</v>
      </c>
      <c r="C1" s="6" t="s">
        <v>115</v>
      </c>
    </row>
    <row r="2" spans="1:5" x14ac:dyDescent="0.25">
      <c r="A2" s="20">
        <v>1</v>
      </c>
      <c r="B2" s="33" t="s">
        <v>119</v>
      </c>
      <c r="C2" s="65"/>
    </row>
    <row r="3" spans="1:5" x14ac:dyDescent="0.25">
      <c r="A3" s="20">
        <v>2</v>
      </c>
      <c r="B3" s="34" t="s">
        <v>120</v>
      </c>
      <c r="C3" s="65"/>
    </row>
    <row r="4" spans="1:5" x14ac:dyDescent="0.25">
      <c r="A4" s="20">
        <v>3</v>
      </c>
      <c r="B4" s="33" t="s">
        <v>315</v>
      </c>
      <c r="C4" s="65"/>
    </row>
    <row r="5" spans="1:5" x14ac:dyDescent="0.25">
      <c r="A5" s="20">
        <v>4</v>
      </c>
      <c r="B5" s="34" t="s">
        <v>340</v>
      </c>
      <c r="C5" s="65"/>
    </row>
    <row r="6" spans="1:5" x14ac:dyDescent="0.25">
      <c r="A6" s="20">
        <v>5</v>
      </c>
      <c r="B6" s="23" t="s">
        <v>349</v>
      </c>
      <c r="C6" s="65"/>
    </row>
    <row r="7" spans="1:5" x14ac:dyDescent="0.25">
      <c r="A7" s="20">
        <v>6</v>
      </c>
      <c r="B7" s="34" t="s">
        <v>342</v>
      </c>
      <c r="C7" s="65" t="s">
        <v>497</v>
      </c>
      <c r="D7" s="66" t="s">
        <v>342</v>
      </c>
      <c r="E7" s="67" t="s">
        <v>343</v>
      </c>
    </row>
    <row r="8" spans="1:5" x14ac:dyDescent="0.25">
      <c r="B8" s="22"/>
      <c r="C8" s="65"/>
      <c r="D8" s="61" t="s">
        <v>316</v>
      </c>
      <c r="E8" s="62">
        <v>0</v>
      </c>
    </row>
    <row r="9" spans="1:5" x14ac:dyDescent="0.25">
      <c r="D9" s="61" t="s">
        <v>344</v>
      </c>
      <c r="E9" s="62">
        <v>1</v>
      </c>
    </row>
    <row r="10" spans="1:5" x14ac:dyDescent="0.25">
      <c r="D10" s="61" t="s">
        <v>345</v>
      </c>
      <c r="E10" s="62">
        <v>2</v>
      </c>
    </row>
    <row r="11" spans="1:5" x14ac:dyDescent="0.25">
      <c r="D11" s="61" t="s">
        <v>347</v>
      </c>
      <c r="E11" s="62">
        <v>4</v>
      </c>
    </row>
    <row r="12" spans="1:5" x14ac:dyDescent="0.25">
      <c r="D12" s="61" t="s">
        <v>346</v>
      </c>
      <c r="E12" s="62">
        <v>8</v>
      </c>
    </row>
    <row r="13" spans="1:5" x14ac:dyDescent="0.25">
      <c r="D13" s="63" t="s">
        <v>348</v>
      </c>
      <c r="E13" s="64">
        <v>16</v>
      </c>
    </row>
  </sheetData>
  <pageMargins left="0.7" right="0.7" top="0.75" bottom="0.75" header="0.3" footer="0.3"/>
  <pageSetup paperSize="9" orientation="portrait" horizontalDpi="4294967293" verticalDpi="4294967293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dimension ref="A1:C3"/>
  <sheetViews>
    <sheetView workbookViewId="0">
      <selection activeCell="C3" sqref="C2:C3"/>
    </sheetView>
  </sheetViews>
  <sheetFormatPr defaultRowHeight="15" x14ac:dyDescent="0.25"/>
  <cols>
    <col min="1" max="1" width="11.85546875" customWidth="1"/>
    <col min="2" max="2" width="20.85546875" bestFit="1" customWidth="1"/>
    <col min="3" max="3" width="48.85546875" bestFit="1" customWidth="1"/>
  </cols>
  <sheetData>
    <row r="1" spans="1:3" x14ac:dyDescent="0.25">
      <c r="A1" s="6" t="s">
        <v>144</v>
      </c>
      <c r="B1" s="6" t="s">
        <v>116</v>
      </c>
      <c r="C1" s="6" t="s">
        <v>115</v>
      </c>
    </row>
    <row r="2" spans="1:3" x14ac:dyDescent="0.25">
      <c r="A2" s="3">
        <v>1</v>
      </c>
      <c r="B2" t="s">
        <v>501</v>
      </c>
      <c r="C2" t="s">
        <v>503</v>
      </c>
    </row>
    <row r="3" spans="1:3" x14ac:dyDescent="0.25">
      <c r="A3" s="3">
        <v>2</v>
      </c>
      <c r="B3" t="s">
        <v>502</v>
      </c>
      <c r="C3" t="s">
        <v>503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dimension ref="A1:D3"/>
  <sheetViews>
    <sheetView workbookViewId="0">
      <selection activeCell="D9" sqref="D9"/>
    </sheetView>
  </sheetViews>
  <sheetFormatPr defaultRowHeight="15" x14ac:dyDescent="0.25"/>
  <cols>
    <col min="1" max="1" width="11.85546875" customWidth="1"/>
    <col min="2" max="2" width="20.85546875" bestFit="1" customWidth="1"/>
    <col min="3" max="3" width="36.7109375" customWidth="1"/>
  </cols>
  <sheetData>
    <row r="1" spans="1:4" x14ac:dyDescent="0.25">
      <c r="A1" s="6" t="s">
        <v>144</v>
      </c>
      <c r="B1" s="6" t="s">
        <v>116</v>
      </c>
      <c r="C1" s="6" t="s">
        <v>115</v>
      </c>
    </row>
    <row r="2" spans="1:4" ht="45" x14ac:dyDescent="0.25">
      <c r="A2" s="3">
        <v>1</v>
      </c>
      <c r="B2" s="30" t="s">
        <v>252</v>
      </c>
      <c r="C2" s="2" t="s">
        <v>491</v>
      </c>
    </row>
    <row r="3" spans="1:4" ht="45" x14ac:dyDescent="0.25">
      <c r="A3" s="3">
        <v>2</v>
      </c>
      <c r="B3" s="30" t="s">
        <v>502</v>
      </c>
      <c r="C3" s="2" t="s">
        <v>491</v>
      </c>
      <c r="D3" t="s">
        <v>729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File List</vt:lpstr>
      <vt:lpstr>Overview</vt:lpstr>
      <vt:lpstr>LISTS</vt:lpstr>
      <vt:lpstr>LISTS-2 COL</vt:lpstr>
      <vt:lpstr>Sections</vt:lpstr>
      <vt:lpstr>%SECT%AJUGEND</vt:lpstr>
      <vt:lpstr>%SECT%AMATEURV</vt:lpstr>
      <vt:lpstr>%SECT%AUSRUESTER</vt:lpstr>
      <vt:lpstr>%SECT%BONUS</vt:lpstr>
      <vt:lpstr>%SECT%CLEAGUEGRP</vt:lpstr>
      <vt:lpstr>%SECT%EFANGES</vt:lpstr>
      <vt:lpstr>%SECT%EMWM</vt:lpstr>
      <vt:lpstr>%SECT%EUROSIEGER</vt:lpstr>
      <vt:lpstr>%SECT%FANGES</vt:lpstr>
      <vt:lpstr>%SECT%HALBZEIT</vt:lpstr>
      <vt:lpstr>%SECT%IVEREINE</vt:lpstr>
      <vt:lpstr>%SECT%KRITIKER</vt:lpstr>
      <vt:lpstr>%SECT%LAND</vt:lpstr>
      <vt:lpstr>%SECT%LIGA</vt:lpstr>
      <vt:lpstr>%SECT%MANAGER</vt:lpstr>
      <vt:lpstr>%SECT%MISC</vt:lpstr>
      <vt:lpstr>%SECT%NATION</vt:lpstr>
      <vt:lpstr>%SECT%PROMI</vt:lpstr>
      <vt:lpstr>%SECT%QUIZ</vt:lpstr>
      <vt:lpstr>%SECT%REPORTER</vt:lpstr>
      <vt:lpstr>%SECT%SCHIRI</vt:lpstr>
      <vt:lpstr>%SECT%SPIELER</vt:lpstr>
      <vt:lpstr>%SECT%SPONSOR</vt:lpstr>
      <vt:lpstr>%SECT%STADION</vt:lpstr>
      <vt:lpstr>%SECT%TRAINER</vt:lpstr>
      <vt:lpstr>%SECT%TURNIERGRP</vt:lpstr>
      <vt:lpstr>%SECT%TWTRAINER</vt:lpstr>
      <vt:lpstr>%SECT%UEFA</vt:lpstr>
      <vt:lpstr>%SECT%VEREIN</vt:lpstr>
      <vt:lpstr>%SECT%VPRAESID</vt:lpstr>
      <vt:lpstr>Sheet1</vt:lpstr>
      <vt:lpstr>Sheet2</vt:lpstr>
      <vt:lpstr>Sheet3</vt:lpstr>
      <vt:lpstr>Sheet4</vt:lpstr>
      <vt:lpstr>Sheet5</vt:lpstr>
      <vt:lpstr>ASPIELER_HIDDEN</vt:lpstr>
      <vt:lpstr>ISCHIRI_HIDDEN</vt:lpstr>
      <vt:lpstr>SPIEL_HIDDEN</vt:lpstr>
      <vt:lpstr>SPIELPLAN_VEREIN_HIDDEN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2006-09-16T00:00:00Z</dcterms:created>
  <dcterms:modified xsi:type="dcterms:W3CDTF">2018-02-19T10:04:29Z</dcterms:modified>
</cp:coreProperties>
</file>